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mc:AlternateContent xmlns:mc="http://schemas.openxmlformats.org/markup-compatibility/2006">
    <mc:Choice Requires="x15">
      <x15ac:absPath xmlns:x15ac="http://schemas.microsoft.com/office/spreadsheetml/2010/11/ac" url="C:\Users\shami\Desktop\"/>
    </mc:Choice>
  </mc:AlternateContent>
  <xr:revisionPtr revIDLastSave="0" documentId="8_{9DBC80D5-0AB8-475E-B3FF-B74DA629DCF3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Нормативы" sheetId="1" r:id="rId1"/>
    <sheet name="Исходные данные" sheetId="2" r:id="rId2"/>
    <sheet name="Источники" sheetId="3" r:id="rId3"/>
    <sheet name="Сбор данных" sheetId="4" r:id="rId4"/>
    <sheet name="Хранение" sheetId="5" r:id="rId5"/>
    <sheet name="Обработка" sheetId="6" r:id="rId6"/>
    <sheet name="Анализ" sheetId="7" r:id="rId7"/>
    <sheet name="MapReduce" sheetId="8" r:id="rId8"/>
    <sheet name="Spark" sheetId="9" r:id="rId9"/>
    <sheet name="MapReduce vs Spark" sheetId="10" r:id="rId10"/>
    <sheet name="Архитектура" sheetId="11" r:id="rId11"/>
    <sheet name="Вывод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9" l="1"/>
  <c r="C20" i="9"/>
  <c r="C19" i="9"/>
  <c r="C18" i="9"/>
  <c r="C17" i="9"/>
  <c r="C16" i="9"/>
  <c r="C15" i="9"/>
  <c r="C14" i="9"/>
  <c r="C13" i="9"/>
  <c r="C63" i="8"/>
  <c r="B63" i="8"/>
  <c r="A63" i="8"/>
  <c r="C62" i="8"/>
  <c r="B62" i="8"/>
  <c r="A62" i="8"/>
  <c r="C61" i="8"/>
  <c r="B61" i="8"/>
  <c r="A61" i="8"/>
  <c r="C60" i="8"/>
  <c r="B60" i="8"/>
  <c r="A60" i="8"/>
  <c r="C59" i="8"/>
  <c r="B59" i="8"/>
  <c r="A59" i="8"/>
  <c r="C58" i="8"/>
  <c r="B58" i="8"/>
  <c r="A58" i="8"/>
  <c r="C57" i="8"/>
  <c r="B57" i="8"/>
  <c r="A57" i="8"/>
  <c r="C56" i="8"/>
  <c r="B56" i="8"/>
  <c r="A56" i="8"/>
  <c r="C55" i="8"/>
  <c r="B55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C7" i="8"/>
  <c r="B7" i="8"/>
  <c r="A7" i="8"/>
  <c r="C6" i="8"/>
  <c r="B6" i="8"/>
  <c r="A6" i="8"/>
  <c r="C5" i="8"/>
  <c r="B5" i="8"/>
  <c r="A5" i="8"/>
  <c r="C4" i="8"/>
  <c r="B4" i="8"/>
  <c r="A4" i="8"/>
  <c r="C26" i="7"/>
  <c r="B26" i="7"/>
  <c r="C25" i="7"/>
  <c r="B25" i="7"/>
  <c r="C24" i="7"/>
  <c r="B24" i="7"/>
  <c r="B11" i="7"/>
  <c r="B10" i="7"/>
  <c r="B9" i="7"/>
  <c r="B4" i="7"/>
  <c r="H62" i="6"/>
  <c r="G62" i="6"/>
  <c r="F62" i="6"/>
  <c r="E62" i="6"/>
  <c r="D62" i="6"/>
  <c r="I62" i="6" s="1"/>
  <c r="C62" i="6"/>
  <c r="B62" i="6"/>
  <c r="A62" i="6"/>
  <c r="L3" i="6" s="1"/>
  <c r="H61" i="6"/>
  <c r="G61" i="6"/>
  <c r="F61" i="6"/>
  <c r="E61" i="6"/>
  <c r="D61" i="6"/>
  <c r="C61" i="6"/>
  <c r="B61" i="6"/>
  <c r="A61" i="6"/>
  <c r="H60" i="6"/>
  <c r="F60" i="6"/>
  <c r="E60" i="6"/>
  <c r="D60" i="6"/>
  <c r="I60" i="6" s="1"/>
  <c r="C60" i="6"/>
  <c r="B60" i="6"/>
  <c r="A60" i="6"/>
  <c r="H59" i="6"/>
  <c r="F59" i="6"/>
  <c r="E59" i="6"/>
  <c r="D59" i="6"/>
  <c r="I59" i="6" s="1"/>
  <c r="C59" i="6"/>
  <c r="B59" i="6"/>
  <c r="A59" i="6"/>
  <c r="H58" i="6"/>
  <c r="F58" i="6"/>
  <c r="E58" i="6"/>
  <c r="D58" i="6"/>
  <c r="I58" i="6" s="1"/>
  <c r="C58" i="6"/>
  <c r="B58" i="6"/>
  <c r="A58" i="6"/>
  <c r="H57" i="6"/>
  <c r="F57" i="6"/>
  <c r="E57" i="6"/>
  <c r="D57" i="6"/>
  <c r="I57" i="6" s="1"/>
  <c r="C57" i="6"/>
  <c r="B57" i="6"/>
  <c r="A57" i="6"/>
  <c r="H56" i="6"/>
  <c r="F56" i="6"/>
  <c r="E56" i="6"/>
  <c r="D56" i="6"/>
  <c r="I56" i="6" s="1"/>
  <c r="C56" i="6"/>
  <c r="B56" i="6"/>
  <c r="A56" i="6"/>
  <c r="H55" i="6"/>
  <c r="F55" i="6"/>
  <c r="E55" i="6"/>
  <c r="D55" i="6"/>
  <c r="I55" i="6" s="1"/>
  <c r="C55" i="6"/>
  <c r="B55" i="6"/>
  <c r="A55" i="6"/>
  <c r="H54" i="6"/>
  <c r="F54" i="6"/>
  <c r="E54" i="6"/>
  <c r="D54" i="6"/>
  <c r="I54" i="6" s="1"/>
  <c r="C54" i="6"/>
  <c r="B54" i="6"/>
  <c r="A54" i="6"/>
  <c r="H53" i="6"/>
  <c r="F53" i="6"/>
  <c r="E53" i="6"/>
  <c r="D53" i="6"/>
  <c r="I53" i="6" s="1"/>
  <c r="C53" i="6"/>
  <c r="B53" i="6"/>
  <c r="A53" i="6"/>
  <c r="H52" i="6"/>
  <c r="F52" i="6"/>
  <c r="E52" i="6"/>
  <c r="D52" i="6"/>
  <c r="I52" i="6" s="1"/>
  <c r="C52" i="6"/>
  <c r="B52" i="6"/>
  <c r="A52" i="6"/>
  <c r="H51" i="6"/>
  <c r="F51" i="6"/>
  <c r="E51" i="6"/>
  <c r="D51" i="6"/>
  <c r="I51" i="6" s="1"/>
  <c r="C51" i="6"/>
  <c r="B51" i="6"/>
  <c r="A51" i="6"/>
  <c r="H50" i="6"/>
  <c r="F50" i="6"/>
  <c r="E50" i="6"/>
  <c r="D50" i="6"/>
  <c r="I50" i="6" s="1"/>
  <c r="C50" i="6"/>
  <c r="B50" i="6"/>
  <c r="A50" i="6"/>
  <c r="H49" i="6"/>
  <c r="F49" i="6"/>
  <c r="E49" i="6"/>
  <c r="D49" i="6"/>
  <c r="I49" i="6" s="1"/>
  <c r="C49" i="6"/>
  <c r="B49" i="6"/>
  <c r="A49" i="6"/>
  <c r="H48" i="6"/>
  <c r="F48" i="6"/>
  <c r="E48" i="6"/>
  <c r="D48" i="6"/>
  <c r="I48" i="6" s="1"/>
  <c r="C48" i="6"/>
  <c r="B48" i="6"/>
  <c r="A48" i="6"/>
  <c r="H47" i="6"/>
  <c r="F47" i="6"/>
  <c r="E47" i="6"/>
  <c r="D47" i="6"/>
  <c r="I47" i="6" s="1"/>
  <c r="C47" i="6"/>
  <c r="B47" i="6"/>
  <c r="A47" i="6"/>
  <c r="I46" i="6"/>
  <c r="H46" i="6"/>
  <c r="F46" i="6"/>
  <c r="E46" i="6"/>
  <c r="D46" i="6"/>
  <c r="C46" i="6"/>
  <c r="B46" i="6"/>
  <c r="A46" i="6"/>
  <c r="H45" i="6"/>
  <c r="F45" i="6"/>
  <c r="E45" i="6"/>
  <c r="D45" i="6"/>
  <c r="I45" i="6" s="1"/>
  <c r="C45" i="6"/>
  <c r="B45" i="6"/>
  <c r="A45" i="6"/>
  <c r="H44" i="6"/>
  <c r="F44" i="6"/>
  <c r="E44" i="6"/>
  <c r="D44" i="6"/>
  <c r="I44" i="6" s="1"/>
  <c r="C44" i="6"/>
  <c r="B44" i="6"/>
  <c r="A44" i="6"/>
  <c r="H43" i="6"/>
  <c r="F43" i="6"/>
  <c r="E43" i="6"/>
  <c r="D43" i="6"/>
  <c r="I43" i="6" s="1"/>
  <c r="C43" i="6"/>
  <c r="B43" i="6"/>
  <c r="A43" i="6"/>
  <c r="H42" i="6"/>
  <c r="F42" i="6"/>
  <c r="E42" i="6"/>
  <c r="D42" i="6"/>
  <c r="I42" i="6" s="1"/>
  <c r="C42" i="6"/>
  <c r="B42" i="6"/>
  <c r="A42" i="6"/>
  <c r="H41" i="6"/>
  <c r="F41" i="6"/>
  <c r="E41" i="6"/>
  <c r="D41" i="6"/>
  <c r="I41" i="6" s="1"/>
  <c r="C41" i="6"/>
  <c r="B41" i="6"/>
  <c r="A41" i="6"/>
  <c r="H40" i="6"/>
  <c r="F40" i="6"/>
  <c r="E40" i="6"/>
  <c r="D40" i="6"/>
  <c r="I40" i="6" s="1"/>
  <c r="C40" i="6"/>
  <c r="B40" i="6"/>
  <c r="A40" i="6"/>
  <c r="H39" i="6"/>
  <c r="F39" i="6"/>
  <c r="E39" i="6"/>
  <c r="D39" i="6"/>
  <c r="I39" i="6" s="1"/>
  <c r="C39" i="6"/>
  <c r="B39" i="6"/>
  <c r="A39" i="6"/>
  <c r="H38" i="6"/>
  <c r="F38" i="6"/>
  <c r="E38" i="6"/>
  <c r="D38" i="6"/>
  <c r="I38" i="6" s="1"/>
  <c r="C38" i="6"/>
  <c r="B38" i="6"/>
  <c r="A38" i="6"/>
  <c r="H37" i="6"/>
  <c r="F37" i="6"/>
  <c r="E37" i="6"/>
  <c r="D37" i="6"/>
  <c r="I37" i="6" s="1"/>
  <c r="C37" i="6"/>
  <c r="B37" i="6"/>
  <c r="A37" i="6"/>
  <c r="H36" i="6"/>
  <c r="F36" i="6"/>
  <c r="E36" i="6"/>
  <c r="D36" i="6"/>
  <c r="I36" i="6" s="1"/>
  <c r="C36" i="6"/>
  <c r="B36" i="6"/>
  <c r="A36" i="6"/>
  <c r="H35" i="6"/>
  <c r="F35" i="6"/>
  <c r="E35" i="6"/>
  <c r="D35" i="6"/>
  <c r="I35" i="6" s="1"/>
  <c r="C35" i="6"/>
  <c r="B35" i="6"/>
  <c r="A35" i="6"/>
  <c r="H34" i="6"/>
  <c r="F34" i="6"/>
  <c r="E34" i="6"/>
  <c r="D34" i="6"/>
  <c r="I34" i="6" s="1"/>
  <c r="C34" i="6"/>
  <c r="B34" i="6"/>
  <c r="A34" i="6"/>
  <c r="H33" i="6"/>
  <c r="F33" i="6"/>
  <c r="E33" i="6"/>
  <c r="D33" i="6"/>
  <c r="I33" i="6" s="1"/>
  <c r="C33" i="6"/>
  <c r="B33" i="6"/>
  <c r="A33" i="6"/>
  <c r="H32" i="6"/>
  <c r="F32" i="6"/>
  <c r="E32" i="6"/>
  <c r="D32" i="6"/>
  <c r="I32" i="6" s="1"/>
  <c r="C32" i="6"/>
  <c r="B32" i="6"/>
  <c r="A32" i="6"/>
  <c r="H31" i="6"/>
  <c r="F31" i="6"/>
  <c r="E31" i="6"/>
  <c r="I31" i="6" s="1"/>
  <c r="D31" i="6"/>
  <c r="C31" i="6"/>
  <c r="B31" i="6"/>
  <c r="A31" i="6"/>
  <c r="H30" i="6"/>
  <c r="F30" i="6"/>
  <c r="E30" i="6"/>
  <c r="D30" i="6"/>
  <c r="I30" i="6" s="1"/>
  <c r="C30" i="6"/>
  <c r="B30" i="6"/>
  <c r="A30" i="6"/>
  <c r="H29" i="6"/>
  <c r="F29" i="6"/>
  <c r="E29" i="6"/>
  <c r="D29" i="6"/>
  <c r="I29" i="6" s="1"/>
  <c r="C29" i="6"/>
  <c r="B29" i="6"/>
  <c r="A29" i="6"/>
  <c r="H28" i="6"/>
  <c r="F28" i="6"/>
  <c r="E28" i="6"/>
  <c r="D28" i="6"/>
  <c r="I28" i="6" s="1"/>
  <c r="C28" i="6"/>
  <c r="B28" i="6"/>
  <c r="A28" i="6"/>
  <c r="H27" i="6"/>
  <c r="F27" i="6"/>
  <c r="E27" i="6"/>
  <c r="D27" i="6"/>
  <c r="I27" i="6" s="1"/>
  <c r="C27" i="6"/>
  <c r="B27" i="6"/>
  <c r="A27" i="6"/>
  <c r="H26" i="6"/>
  <c r="F26" i="6"/>
  <c r="E26" i="6"/>
  <c r="D26" i="6"/>
  <c r="I26" i="6" s="1"/>
  <c r="C26" i="6"/>
  <c r="B26" i="6"/>
  <c r="A26" i="6"/>
  <c r="H25" i="6"/>
  <c r="F25" i="6"/>
  <c r="E25" i="6"/>
  <c r="I25" i="6" s="1"/>
  <c r="D25" i="6"/>
  <c r="C25" i="6"/>
  <c r="B25" i="6"/>
  <c r="A25" i="6"/>
  <c r="H24" i="6"/>
  <c r="F24" i="6"/>
  <c r="E24" i="6"/>
  <c r="D24" i="6"/>
  <c r="I24" i="6" s="1"/>
  <c r="C24" i="6"/>
  <c r="B24" i="6"/>
  <c r="A24" i="6"/>
  <c r="H23" i="6"/>
  <c r="F23" i="6"/>
  <c r="E23" i="6"/>
  <c r="D23" i="6"/>
  <c r="I23" i="6" s="1"/>
  <c r="C23" i="6"/>
  <c r="B23" i="6"/>
  <c r="A23" i="6"/>
  <c r="H22" i="6"/>
  <c r="F22" i="6"/>
  <c r="E22" i="6"/>
  <c r="D22" i="6"/>
  <c r="I22" i="6" s="1"/>
  <c r="C22" i="6"/>
  <c r="B22" i="6"/>
  <c r="A22" i="6"/>
  <c r="H21" i="6"/>
  <c r="F21" i="6"/>
  <c r="E21" i="6"/>
  <c r="D21" i="6"/>
  <c r="I21" i="6" s="1"/>
  <c r="C21" i="6"/>
  <c r="B21" i="6"/>
  <c r="A21" i="6"/>
  <c r="H20" i="6"/>
  <c r="F20" i="6"/>
  <c r="E20" i="6"/>
  <c r="D20" i="6"/>
  <c r="I20" i="6" s="1"/>
  <c r="C20" i="6"/>
  <c r="B20" i="6"/>
  <c r="A20" i="6"/>
  <c r="H19" i="6"/>
  <c r="F19" i="6"/>
  <c r="E19" i="6"/>
  <c r="I19" i="6" s="1"/>
  <c r="D19" i="6"/>
  <c r="C19" i="6"/>
  <c r="B19" i="6"/>
  <c r="A19" i="6"/>
  <c r="H18" i="6"/>
  <c r="F18" i="6"/>
  <c r="E18" i="6"/>
  <c r="D18" i="6"/>
  <c r="I18" i="6" s="1"/>
  <c r="C18" i="6"/>
  <c r="B18" i="6"/>
  <c r="A18" i="6"/>
  <c r="H17" i="6"/>
  <c r="F17" i="6"/>
  <c r="E17" i="6"/>
  <c r="D17" i="6"/>
  <c r="I17" i="6" s="1"/>
  <c r="C17" i="6"/>
  <c r="B17" i="6"/>
  <c r="A17" i="6"/>
  <c r="H16" i="6"/>
  <c r="F16" i="6"/>
  <c r="E16" i="6"/>
  <c r="D16" i="6"/>
  <c r="I16" i="6" s="1"/>
  <c r="C16" i="6"/>
  <c r="B16" i="6"/>
  <c r="A16" i="6"/>
  <c r="H15" i="6"/>
  <c r="F15" i="6"/>
  <c r="E15" i="6"/>
  <c r="D15" i="6"/>
  <c r="I15" i="6" s="1"/>
  <c r="C15" i="6"/>
  <c r="B15" i="6"/>
  <c r="A15" i="6"/>
  <c r="H14" i="6"/>
  <c r="F14" i="6"/>
  <c r="E14" i="6"/>
  <c r="D14" i="6"/>
  <c r="I14" i="6" s="1"/>
  <c r="C14" i="6"/>
  <c r="B14" i="6"/>
  <c r="A14" i="6"/>
  <c r="H13" i="6"/>
  <c r="F13" i="6"/>
  <c r="E13" i="6"/>
  <c r="I13" i="6" s="1"/>
  <c r="D13" i="6"/>
  <c r="C13" i="6"/>
  <c r="B13" i="6"/>
  <c r="A13" i="6"/>
  <c r="H12" i="6"/>
  <c r="F12" i="6"/>
  <c r="E12" i="6"/>
  <c r="D12" i="6"/>
  <c r="I12" i="6" s="1"/>
  <c r="C12" i="6"/>
  <c r="B12" i="6"/>
  <c r="A12" i="6"/>
  <c r="H11" i="6"/>
  <c r="F11" i="6"/>
  <c r="E11" i="6"/>
  <c r="D11" i="6"/>
  <c r="I11" i="6" s="1"/>
  <c r="C11" i="6"/>
  <c r="B11" i="6"/>
  <c r="A11" i="6"/>
  <c r="H10" i="6"/>
  <c r="F10" i="6"/>
  <c r="E10" i="6"/>
  <c r="D10" i="6"/>
  <c r="I10" i="6" s="1"/>
  <c r="C10" i="6"/>
  <c r="B10" i="6"/>
  <c r="A10" i="6"/>
  <c r="H9" i="6"/>
  <c r="F9" i="6"/>
  <c r="E9" i="6"/>
  <c r="D9" i="6"/>
  <c r="I9" i="6" s="1"/>
  <c r="C9" i="6"/>
  <c r="B9" i="6"/>
  <c r="A9" i="6"/>
  <c r="H8" i="6"/>
  <c r="F8" i="6"/>
  <c r="E8" i="6"/>
  <c r="D8" i="6"/>
  <c r="I8" i="6" s="1"/>
  <c r="C8" i="6"/>
  <c r="B8" i="6"/>
  <c r="A8" i="6"/>
  <c r="I7" i="6"/>
  <c r="H7" i="6"/>
  <c r="F7" i="6"/>
  <c r="E7" i="6"/>
  <c r="D7" i="6"/>
  <c r="C7" i="6"/>
  <c r="B7" i="6"/>
  <c r="A7" i="6"/>
  <c r="H6" i="6"/>
  <c r="F6" i="6"/>
  <c r="E6" i="6"/>
  <c r="D6" i="6"/>
  <c r="I6" i="6" s="1"/>
  <c r="C6" i="6"/>
  <c r="B6" i="6"/>
  <c r="A6" i="6"/>
  <c r="H5" i="6"/>
  <c r="F5" i="6"/>
  <c r="E5" i="6"/>
  <c r="D5" i="6"/>
  <c r="I5" i="6" s="1"/>
  <c r="C5" i="6"/>
  <c r="B5" i="6"/>
  <c r="A5" i="6"/>
  <c r="H4" i="6"/>
  <c r="F4" i="6"/>
  <c r="E4" i="6"/>
  <c r="D4" i="6"/>
  <c r="I4" i="6" s="1"/>
  <c r="C4" i="6"/>
  <c r="B4" i="6"/>
  <c r="A4" i="6"/>
  <c r="H3" i="6"/>
  <c r="F3" i="6"/>
  <c r="E3" i="6"/>
  <c r="D3" i="6"/>
  <c r="I3" i="6" s="1"/>
  <c r="C3" i="6"/>
  <c r="B3" i="6"/>
  <c r="A3" i="6"/>
  <c r="B15" i="4"/>
  <c r="B14" i="4"/>
  <c r="B13" i="4"/>
  <c r="B12" i="4"/>
  <c r="G62" i="2"/>
  <c r="G61" i="2"/>
  <c r="G60" i="2"/>
  <c r="G60" i="6" s="1"/>
  <c r="G59" i="2"/>
  <c r="G59" i="6" s="1"/>
  <c r="G58" i="2"/>
  <c r="G58" i="6" s="1"/>
  <c r="G57" i="2"/>
  <c r="G57" i="6" s="1"/>
  <c r="G56" i="2"/>
  <c r="G56" i="6" s="1"/>
  <c r="G55" i="2"/>
  <c r="G55" i="6" s="1"/>
  <c r="G54" i="2"/>
  <c r="G54" i="6" s="1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6" i="6" s="1"/>
  <c r="G5" i="2"/>
  <c r="G5" i="6" s="1"/>
  <c r="G4" i="2"/>
  <c r="G4" i="6" s="1"/>
  <c r="G3" i="2"/>
  <c r="G3" i="6" s="1"/>
  <c r="E21" i="9" l="1"/>
  <c r="D21" i="9"/>
  <c r="D20" i="9"/>
  <c r="E20" i="9"/>
  <c r="D19" i="9"/>
  <c r="E19" i="9"/>
  <c r="E18" i="9"/>
  <c r="D18" i="9"/>
  <c r="D17" i="9"/>
  <c r="E17" i="9"/>
  <c r="E16" i="9"/>
  <c r="D16" i="9"/>
  <c r="D15" i="9"/>
  <c r="E15" i="9"/>
  <c r="E14" i="9"/>
  <c r="D14" i="9"/>
  <c r="D13" i="9"/>
  <c r="E13" i="9"/>
  <c r="C17" i="7"/>
  <c r="B15" i="7"/>
  <c r="B20" i="7"/>
  <c r="B16" i="7"/>
  <c r="C18" i="7"/>
  <c r="C16" i="7"/>
  <c r="B17" i="7"/>
  <c r="B18" i="7"/>
  <c r="C20" i="7"/>
  <c r="C15" i="7"/>
  <c r="B7" i="7"/>
  <c r="L7" i="6"/>
  <c r="B19" i="7"/>
  <c r="B5" i="7"/>
  <c r="L6" i="6"/>
  <c r="I61" i="6"/>
  <c r="L4" i="6" s="1"/>
  <c r="C19" i="7"/>
  <c r="B6" i="7"/>
  <c r="B8" i="7"/>
  <c r="G53" i="6"/>
  <c r="G19" i="7" s="1"/>
  <c r="B54" i="8"/>
  <c r="C54" i="8"/>
  <c r="B53" i="8"/>
  <c r="C53" i="8"/>
  <c r="G52" i="6"/>
  <c r="G20" i="7" s="1"/>
  <c r="C52" i="8"/>
  <c r="B52" i="8"/>
  <c r="G51" i="6"/>
  <c r="D15" i="7" s="1"/>
  <c r="C51" i="8"/>
  <c r="B51" i="8"/>
  <c r="G50" i="6"/>
  <c r="G15" i="7" s="1"/>
  <c r="G49" i="6"/>
  <c r="C50" i="8"/>
  <c r="B50" i="8"/>
  <c r="B49" i="8"/>
  <c r="C49" i="8"/>
  <c r="G48" i="6"/>
  <c r="B48" i="8"/>
  <c r="C48" i="8"/>
  <c r="G47" i="6"/>
  <c r="C47" i="8"/>
  <c r="G46" i="6"/>
  <c r="B47" i="8"/>
  <c r="B46" i="8"/>
  <c r="C46" i="8"/>
  <c r="G45" i="6"/>
  <c r="C45" i="8"/>
  <c r="G44" i="6"/>
  <c r="B45" i="8"/>
  <c r="G43" i="6"/>
  <c r="B44" i="8"/>
  <c r="C44" i="8"/>
  <c r="G42" i="6"/>
  <c r="B43" i="8"/>
  <c r="C43" i="8"/>
  <c r="G41" i="6"/>
  <c r="C42" i="8"/>
  <c r="B42" i="8"/>
  <c r="B41" i="8"/>
  <c r="C41" i="8"/>
  <c r="G40" i="6"/>
  <c r="C40" i="8"/>
  <c r="B40" i="8"/>
  <c r="G39" i="6"/>
  <c r="C39" i="8"/>
  <c r="B39" i="8"/>
  <c r="G38" i="6"/>
  <c r="C38" i="8"/>
  <c r="B38" i="8"/>
  <c r="G37" i="6"/>
  <c r="C37" i="8"/>
  <c r="B37" i="8"/>
  <c r="G36" i="6"/>
  <c r="C36" i="8"/>
  <c r="B36" i="8"/>
  <c r="G35" i="6"/>
  <c r="G34" i="6"/>
  <c r="B35" i="8"/>
  <c r="C35" i="8"/>
  <c r="C34" i="8"/>
  <c r="B34" i="8"/>
  <c r="G33" i="6"/>
  <c r="G32" i="6"/>
  <c r="C33" i="8"/>
  <c r="B33" i="8"/>
  <c r="C32" i="8"/>
  <c r="B32" i="8"/>
  <c r="G31" i="6"/>
  <c r="C31" i="8"/>
  <c r="B31" i="8"/>
  <c r="G30" i="6"/>
  <c r="B30" i="8"/>
  <c r="G29" i="6"/>
  <c r="C30" i="8"/>
  <c r="G28" i="6"/>
  <c r="C29" i="8"/>
  <c r="B29" i="8"/>
  <c r="G27" i="6"/>
  <c r="B28" i="8"/>
  <c r="C28" i="8"/>
  <c r="B27" i="8"/>
  <c r="C27" i="8"/>
  <c r="G26" i="6"/>
  <c r="C26" i="8"/>
  <c r="B26" i="8"/>
  <c r="G25" i="6"/>
  <c r="C25" i="8"/>
  <c r="B25" i="8"/>
  <c r="G24" i="6"/>
  <c r="G23" i="6"/>
  <c r="C24" i="8"/>
  <c r="B24" i="8"/>
  <c r="C23" i="8"/>
  <c r="G22" i="6"/>
  <c r="B23" i="8"/>
  <c r="G21" i="6"/>
  <c r="C22" i="8"/>
  <c r="B22" i="8"/>
  <c r="G20" i="6"/>
  <c r="B21" i="8"/>
  <c r="C21" i="8"/>
  <c r="B20" i="8"/>
  <c r="G19" i="6"/>
  <c r="C20" i="8"/>
  <c r="C19" i="8"/>
  <c r="B19" i="8"/>
  <c r="G18" i="6"/>
  <c r="C18" i="8"/>
  <c r="B18" i="8"/>
  <c r="G17" i="6"/>
  <c r="C17" i="8"/>
  <c r="B17" i="8"/>
  <c r="G16" i="6"/>
  <c r="C16" i="8"/>
  <c r="B16" i="8"/>
  <c r="G15" i="6"/>
  <c r="C15" i="8"/>
  <c r="B15" i="8"/>
  <c r="G14" i="6"/>
  <c r="G13" i="6"/>
  <c r="B14" i="8"/>
  <c r="C14" i="8"/>
  <c r="C13" i="8"/>
  <c r="B13" i="8"/>
  <c r="G12" i="6"/>
  <c r="G11" i="6"/>
  <c r="B12" i="8"/>
  <c r="C12" i="8"/>
  <c r="G10" i="6"/>
  <c r="B11" i="8"/>
  <c r="C11" i="8"/>
  <c r="B10" i="8"/>
  <c r="G9" i="6"/>
  <c r="C10" i="8"/>
  <c r="B9" i="8"/>
  <c r="C9" i="8"/>
  <c r="G8" i="6"/>
  <c r="B8" i="8"/>
  <c r="C8" i="8"/>
  <c r="G7" i="6"/>
  <c r="G17" i="7" l="1"/>
  <c r="D20" i="7"/>
  <c r="G16" i="7"/>
  <c r="G6" i="8"/>
  <c r="G8" i="8"/>
  <c r="G5" i="8"/>
  <c r="G7" i="8"/>
  <c r="G9" i="8"/>
  <c r="G4" i="8"/>
  <c r="D19" i="7"/>
  <c r="D18" i="7"/>
  <c r="D25" i="7"/>
  <c r="D17" i="7"/>
  <c r="D26" i="7"/>
  <c r="G18" i="7"/>
  <c r="D16" i="7"/>
  <c r="D24" i="7"/>
</calcChain>
</file>

<file path=xl/sharedStrings.xml><?xml version="1.0" encoding="utf-8"?>
<sst xmlns="http://schemas.openxmlformats.org/spreadsheetml/2006/main" count="668" uniqueCount="350">
  <si>
    <t>Методика учебной оценки категории риска</t>
  </si>
  <si>
    <t>Показатель</t>
  </si>
  <si>
    <t>Порог</t>
  </si>
  <si>
    <t>Единица</t>
  </si>
  <si>
    <t>Применение</t>
  </si>
  <si>
    <t>Индекс износа — высокая категория</t>
  </si>
  <si>
    <t>%</t>
  </si>
  <si>
    <t>Высокая при значении не ниже порога</t>
  </si>
  <si>
    <t>Вибрация — высокая категория</t>
  </si>
  <si>
    <t>мм/с</t>
  </si>
  <si>
    <t>Индекс износа — средняя категория</t>
  </si>
  <si>
    <t>Средняя, если не выполнено условие высокой</t>
  </si>
  <si>
    <t>Вибрация — средняя категория</t>
  </si>
  <si>
    <t>Источник базового SHM-набора</t>
  </si>
  <si>
    <t>https://www.kaggle.com/datasets/programmer3/aging-bridge-shm-time-series-dataset</t>
  </si>
  <si>
    <t>Справочник мостов FHWA NBI</t>
  </si>
  <si>
    <t>https://services.arcgis.com/xOi1kZaI0eWDREZv/ArcGIS/rest/services/NTAD_National_Bridge_Inventory/FeatureServer</t>
  </si>
  <si>
    <t>Примечание. Пороги риска в этой работе используются только как учебное правило для группировки. Они не являются нормативом безопасности мостов. Числовой профиль сформирован на основе открытого SHM-набора; район, тип конструкции, обслуживающая организация и категория риска приведены к структуре варианта 54.</t>
  </si>
  <si>
    <t>Вариант 54. Мониторинг состояния мостов и путепроводов — 60 записей</t>
  </si>
  <si>
    <t>№ объекта</t>
  </si>
  <si>
    <t>Район</t>
  </si>
  <si>
    <t>Тип конструкции</t>
  </si>
  <si>
    <t>Уровень вибрации, мм/с</t>
  </si>
  <si>
    <t>Индекс износа, %</t>
  </si>
  <si>
    <t>Обслуживающая организация</t>
  </si>
  <si>
    <t>Категория риска</t>
  </si>
  <si>
    <t>Код строки</t>
  </si>
  <si>
    <t>Источник данных</t>
  </si>
  <si>
    <t>Центральный</t>
  </si>
  <si>
    <t>Стальной балочный</t>
  </si>
  <si>
    <t>City Bridge Service</t>
  </si>
  <si>
    <t>SHM-001</t>
  </si>
  <si>
    <t>Промышленный</t>
  </si>
  <si>
    <t>Железобетонный балочный</t>
  </si>
  <si>
    <t>Urban Structures Unit</t>
  </si>
  <si>
    <t>SHM-002</t>
  </si>
  <si>
    <t>Западный</t>
  </si>
  <si>
    <t>Коробчатый железобетонный</t>
  </si>
  <si>
    <t>InfraRoad Maintenance</t>
  </si>
  <si>
    <t>SHM-003</t>
  </si>
  <si>
    <t>Восточный</t>
  </si>
  <si>
    <t>Арочный стальной</t>
  </si>
  <si>
    <t>SHM-004</t>
  </si>
  <si>
    <t>Вантовый</t>
  </si>
  <si>
    <t>SHM-005</t>
  </si>
  <si>
    <t>Южный</t>
  </si>
  <si>
    <t>Рамный путепровод</t>
  </si>
  <si>
    <t>SHM-006</t>
  </si>
  <si>
    <t>Северный</t>
  </si>
  <si>
    <t>SHM-007</t>
  </si>
  <si>
    <t>SHM-008</t>
  </si>
  <si>
    <t>SHM-009</t>
  </si>
  <si>
    <t>SHM-010</t>
  </si>
  <si>
    <t>SHM-011</t>
  </si>
  <si>
    <t>SHM-012</t>
  </si>
  <si>
    <t>SHM-013</t>
  </si>
  <si>
    <t>SHM-014</t>
  </si>
  <si>
    <t>SHM-015</t>
  </si>
  <si>
    <t>SHM-016</t>
  </si>
  <si>
    <t>SHM-017</t>
  </si>
  <si>
    <t>SHM-018</t>
  </si>
  <si>
    <t>SHM-019</t>
  </si>
  <si>
    <t>SHM-020</t>
  </si>
  <si>
    <t>SHM-021</t>
  </si>
  <si>
    <t>SHM-022</t>
  </si>
  <si>
    <t>SHM-023</t>
  </si>
  <si>
    <t>SHM-024</t>
  </si>
  <si>
    <t>SHM-025</t>
  </si>
  <si>
    <t>SHM-026</t>
  </si>
  <si>
    <t>SHM-027</t>
  </si>
  <si>
    <t>SHM-028</t>
  </si>
  <si>
    <t>SHM-029</t>
  </si>
  <si>
    <t>SHM-030</t>
  </si>
  <si>
    <t>SHM-031</t>
  </si>
  <si>
    <t>SHM-032</t>
  </si>
  <si>
    <t>SHM-033</t>
  </si>
  <si>
    <t>SHM-034</t>
  </si>
  <si>
    <t>SHM-035</t>
  </si>
  <si>
    <t>SHM-036</t>
  </si>
  <si>
    <t>SHM-037</t>
  </si>
  <si>
    <t>SHM-038</t>
  </si>
  <si>
    <t>SHM-039</t>
  </si>
  <si>
    <t>SHM-040</t>
  </si>
  <si>
    <t>SHM-041</t>
  </si>
  <si>
    <t>SHM-042</t>
  </si>
  <si>
    <t>SHM-043</t>
  </si>
  <si>
    <t>SHM-044</t>
  </si>
  <si>
    <t>SHM-045</t>
  </si>
  <si>
    <t>SHM-046</t>
  </si>
  <si>
    <t>SHM-047</t>
  </si>
  <si>
    <t>SHM-048</t>
  </si>
  <si>
    <t>SHM-049</t>
  </si>
  <si>
    <t>SHM-050</t>
  </si>
  <si>
    <t>SHM-051</t>
  </si>
  <si>
    <t>SHM-052</t>
  </si>
  <si>
    <t>SHM-053</t>
  </si>
  <si>
    <t>SHM-054</t>
  </si>
  <si>
    <t>SHM-055</t>
  </si>
  <si>
    <t>SHM-056</t>
  </si>
  <si>
    <t>SHM-057</t>
  </si>
  <si>
    <t>SHM-058</t>
  </si>
  <si>
    <t>SHM-059</t>
  </si>
  <si>
    <t>SHM-060</t>
  </si>
  <si>
    <t>Открытые источники для мониторинга мостов и путепроводов</t>
  </si>
  <si>
    <t>№</t>
  </si>
  <si>
    <t>Источник</t>
  </si>
  <si>
    <t>Тип данных</t>
  </si>
  <si>
    <t>Частота поступления</t>
  </si>
  <si>
    <t>Формат</t>
  </si>
  <si>
    <t>Использование в работе</t>
  </si>
  <si>
    <t>URL</t>
  </si>
  <si>
    <t>Aging Bridge SHM Time-Series Dataset</t>
  </si>
  <si>
    <t>Вибрация, degradation score, condition labels</t>
  </si>
  <si>
    <t>Временной ряд</t>
  </si>
  <si>
    <t>CSV</t>
  </si>
  <si>
    <t>Основа числового профиля 60 строк</t>
  </si>
  <si>
    <t>FHWA National Bridge Inventory</t>
  </si>
  <si>
    <t>Типы, местоположение, состояние, обслуживание</t>
  </si>
  <si>
    <t>Ежегодно</t>
  </si>
  <si>
    <t>CSV / API</t>
  </si>
  <si>
    <t>Справочник объектов и структуры полей</t>
  </si>
  <si>
    <t>Route 345 Bridge SHM Dataset</t>
  </si>
  <si>
    <t>Акселерометры, деформации, повреждения</t>
  </si>
  <si>
    <t>Экспериментальные серии</t>
  </si>
  <si>
    <t>HDF5</t>
  </si>
  <si>
    <t>Пример вибрационного SHM</t>
  </si>
  <si>
    <t>https://zenodo.org/records/15497673</t>
  </si>
  <si>
    <t>Hell Bridge Test Arena</t>
  </si>
  <si>
    <t>Ускорения, деформации, состояния повреждения</t>
  </si>
  <si>
    <t>Источник для расширения модели</t>
  </si>
  <si>
    <t>https://zenodo.org/records/14632942</t>
  </si>
  <si>
    <t>openLAB Research Bridge</t>
  </si>
  <si>
    <t>Acceleration, tilt, temperature, humidity</t>
  </si>
  <si>
    <t>Непрерывно / 10 минут</t>
  </si>
  <si>
    <t>Пример постоянного IoT-мониторинга</t>
  </si>
  <si>
    <t>https://opara.zih.tu-dresden.de/items/6653124a-8659-40b8-817e-51250639c95b</t>
  </si>
  <si>
    <t>В исходную таблицу включено 60 учебных строк, приведённых к полям варианта 54. Числовой профиль опирается на открытый Aging Bridge SHM dataset; дополнительные открытые источники показаны для реальной архитектуры системы и проверки структуры мостовых данных.</t>
  </si>
  <si>
    <t>Моделирование сбора данных</t>
  </si>
  <si>
    <t>Время / период</t>
  </si>
  <si>
    <t>Записей в выборке</t>
  </si>
  <si>
    <t>Статус загрузки</t>
  </si>
  <si>
    <t>Способ получения</t>
  </si>
  <si>
    <t>Aging Bridge SHM</t>
  </si>
  <si>
    <t>Использовано</t>
  </si>
  <si>
    <t>Открытый датасет</t>
  </si>
  <si>
    <t>FHWA NBI</t>
  </si>
  <si>
    <t>Справочник</t>
  </si>
  <si>
    <t>Open Data API</t>
  </si>
  <si>
    <t>Route 345 Bridge</t>
  </si>
  <si>
    <t>Эксперимент</t>
  </si>
  <si>
    <t>Резерв</t>
  </si>
  <si>
    <t>Zenodo</t>
  </si>
  <si>
    <t>10 мин / триггер</t>
  </si>
  <si>
    <t>Open Repository</t>
  </si>
  <si>
    <t>Значение</t>
  </si>
  <si>
    <t>Общее количество записей</t>
  </si>
  <si>
    <t>Среднее количество записей на источник</t>
  </si>
  <si>
    <t>Максимальное количество</t>
  </si>
  <si>
    <t>Минимальное количество</t>
  </si>
  <si>
    <t>Моделирование хранения данных</t>
  </si>
  <si>
    <t>Уровень</t>
  </si>
  <si>
    <t>Назначение</t>
  </si>
  <si>
    <t>Что хранится</t>
  </si>
  <si>
    <t>Технология Big Data</t>
  </si>
  <si>
    <t>Пример в лабораторной</t>
  </si>
  <si>
    <t>Raw Data</t>
  </si>
  <si>
    <t>Хранение без изменения</t>
  </si>
  <si>
    <t>Потоки акселерометров, FFT, температура, трафик, карточка объекта</t>
  </si>
  <si>
    <t>Object Storage / HDFS / Data Lake</t>
  </si>
  <si>
    <t>Лист «Исходные данные»</t>
  </si>
  <si>
    <t>Processed Data</t>
  </si>
  <si>
    <t>Очистка и нормализация</t>
  </si>
  <si>
    <t>Виброскорость, индекс износа, единые названия районов и объектов</t>
  </si>
  <si>
    <t>Spark ETL / Parquet</t>
  </si>
  <si>
    <t>Лист «Обработка»</t>
  </si>
  <si>
    <t>Analytical Data</t>
  </si>
  <si>
    <t>Агрегаты для контроля</t>
  </si>
  <si>
    <t>Средние по типам и организациям, риск по районам</t>
  </si>
  <si>
    <t>Data Mart / Spark SQL / PostgreSQL</t>
  </si>
  <si>
    <t>Листы «Анализ», «MapReduce», «Spark»</t>
  </si>
  <si>
    <t>В рабочей системе Raw-слой сохраняет исходные телеметрические сообщения, Processed-слой содержит очищенные показатели, а Analytical-слой — готовые агрегаты для дашборда, карты и планирования обследований.</t>
  </si>
  <si>
    <t>Очистка и подготовка данных</t>
  </si>
  <si>
    <t>Вибрация, мм/с</t>
  </si>
  <si>
    <t>Организация</t>
  </si>
  <si>
    <t>Качество записи</t>
  </si>
  <si>
    <t>Контроль обработки</t>
  </si>
  <si>
    <t>Результат</t>
  </si>
  <si>
    <t>Количество строк</t>
  </si>
  <si>
    <t>Строк с пропусками</t>
  </si>
  <si>
    <t>Удалено дублей</t>
  </si>
  <si>
    <t>Макс. вибрация, мм/с</t>
  </si>
  <si>
    <t>Макс. индекс износа, %</t>
  </si>
  <si>
    <t>Анализ состояния мостов и путепроводов</t>
  </si>
  <si>
    <t>Количество записей</t>
  </si>
  <si>
    <t>Средний индекс износа, %</t>
  </si>
  <si>
    <t>Средняя вибрация, мм/с</t>
  </si>
  <si>
    <t>Максимальный индекс износа, %</t>
  </si>
  <si>
    <t>Максимальная вибрация, мм/с</t>
  </si>
  <si>
    <t>Высокий риск</t>
  </si>
  <si>
    <t>Средний риск</t>
  </si>
  <si>
    <t>Низкий риск</t>
  </si>
  <si>
    <t>Средний износ, %</t>
  </si>
  <si>
    <t>Объекты высокого риска</t>
  </si>
  <si>
    <t>MapReduce: подсчёт объектов высокой категории риска по районам</t>
  </si>
  <si>
    <t>Map — Key (район)</t>
  </si>
  <si>
    <t>Map — Value</t>
  </si>
  <si>
    <t>Shuffle/Sort — Key</t>
  </si>
  <si>
    <t>Values</t>
  </si>
  <si>
    <t>Reduce — сумма</t>
  </si>
  <si>
    <t>0, 0, 0, 0, 1, 0, 0, 0, 0, 1, 1, 1, 0, 0, 0</t>
  </si>
  <si>
    <t>0, 0, 1, 0, 0, 0, 0</t>
  </si>
  <si>
    <t>0, 0, 0, 1, 0, 0, 0</t>
  </si>
  <si>
    <t>0, 1, 0, 0, 0, 0, 0, 0, 0, 0, 0, 0, 1, 1, 1</t>
  </si>
  <si>
    <t>0, 1, 0, 0, 1, 0, 0, 0</t>
  </si>
  <si>
    <t>0, 0, 1, 0, 1, 1, 0, 1</t>
  </si>
  <si>
    <t>Spark-модель: группировка объектов по категориям риска и обслуживающим организациям</t>
  </si>
  <si>
    <t>Этап Spark</t>
  </si>
  <si>
    <t>Операция</t>
  </si>
  <si>
    <t>Эквивалент в PySpark</t>
  </si>
  <si>
    <t>Read</t>
  </si>
  <si>
    <t>Загрузка данных</t>
  </si>
  <si>
    <t>60 строк</t>
  </si>
  <si>
    <t>spark.read.csv(...)</t>
  </si>
  <si>
    <t>Чтение</t>
  </si>
  <si>
    <t>Filter</t>
  </si>
  <si>
    <t>Проверка полноты</t>
  </si>
  <si>
    <t>Рабочий набор</t>
  </si>
  <si>
    <t>df.filter(...)</t>
  </si>
  <si>
    <t>Очистка</t>
  </si>
  <si>
    <t>Select</t>
  </si>
  <si>
    <t>Выбор полей</t>
  </si>
  <si>
    <t>organization, risk, wear, vibration</t>
  </si>
  <si>
    <t>df.select(...)</t>
  </si>
  <si>
    <t>Подготовка</t>
  </si>
  <si>
    <t>GroupBy</t>
  </si>
  <si>
    <t>Группировка</t>
  </si>
  <si>
    <t>organization + risk</t>
  </si>
  <si>
    <t>df.groupBy("organization","risk")</t>
  </si>
  <si>
    <t>Aggregate</t>
  </si>
  <si>
    <t>count / avg</t>
  </si>
  <si>
    <t>Количество и средние показатели</t>
  </si>
  <si>
    <t>.agg(...)</t>
  </si>
  <si>
    <t>Агрегирование</t>
  </si>
  <si>
    <t>Result</t>
  </si>
  <si>
    <t>Итог</t>
  </si>
  <si>
    <t>Аналитическая таблица</t>
  </si>
  <si>
    <t>Вывод</t>
  </si>
  <si>
    <t>Количество</t>
  </si>
  <si>
    <t>Высокая</t>
  </si>
  <si>
    <t>Средняя</t>
  </si>
  <si>
    <t>Низкая</t>
  </si>
  <si>
    <t>Сравнение MapReduce и Apache Spark</t>
  </si>
  <si>
    <t>Критерий</t>
  </si>
  <si>
    <t>MapReduce</t>
  </si>
  <si>
    <t>Apache Spark</t>
  </si>
  <si>
    <t>Принцип работы</t>
  </si>
  <si>
    <t>Map → Shuffle/Sort → Reduce</t>
  </si>
  <si>
    <t>Цепочка распределённых transformations/actions</t>
  </si>
  <si>
    <t>Скорость</t>
  </si>
  <si>
    <t>Подходит для больших пакетных подсчётов</t>
  </si>
  <si>
    <t>Быстрее в повторных и потоковых операциях</t>
  </si>
  <si>
    <t>Память</t>
  </si>
  <si>
    <t>Чаще опирается на дисковые промежуточные данные</t>
  </si>
  <si>
    <t>Активно использует оперативную память</t>
  </si>
  <si>
    <t>Повторные вычисления</t>
  </si>
  <si>
    <t>Более затратны</t>
  </si>
  <si>
    <t>Эффективны при кэшировании</t>
  </si>
  <si>
    <t>Потоковая обработка</t>
  </si>
  <si>
    <t>Не основная задача</t>
  </si>
  <si>
    <t>Structured Streaming</t>
  </si>
  <si>
    <t>SQL</t>
  </si>
  <si>
    <t>Не основная функция</t>
  </si>
  <si>
    <t>Spark SQL</t>
  </si>
  <si>
    <t>Machine Learning</t>
  </si>
  <si>
    <t>Нужны внешние инструменты</t>
  </si>
  <si>
    <t>MLlib</t>
  </si>
  <si>
    <t>Графовый анализ</t>
  </si>
  <si>
    <t>Не основное назначение</t>
  </si>
  <si>
    <t>GraphX</t>
  </si>
  <si>
    <t>Преимущество</t>
  </si>
  <si>
    <t>Простая схема массового подсчёта</t>
  </si>
  <si>
    <t>Одна платформа для ETL, потоков, SQL и ML</t>
  </si>
  <si>
    <t>Недостаток</t>
  </si>
  <si>
    <t>Много операций чтения/записи на диск</t>
  </si>
  <si>
    <t>Выше требования к памяти и настройке кластера</t>
  </si>
  <si>
    <t>Для этого варианта основным инструментом выбран Spark: данные от IoT-датчиков поступают постоянно, поэтому удобны Structured Streaming, группировки, вычисление средних и дальнейшее подключение MLlib. MapReduce показан отдельно для понятного подсчёта объектов высокого риска по районам.</t>
  </si>
  <si>
    <t>Big Data архитектура непрерывного мониторинга инженерных сооружений (IoT Structural Health)</t>
  </si>
  <si>
    <t>Этап</t>
  </si>
  <si>
    <t>Компонент</t>
  </si>
  <si>
    <t>Конкретный пример</t>
  </si>
  <si>
    <t>Вход</t>
  </si>
  <si>
    <t>Выход</t>
  </si>
  <si>
    <t>Задача</t>
  </si>
  <si>
    <t>1. Источники данных</t>
  </si>
  <si>
    <t>Data Sources</t>
  </si>
  <si>
    <t>Акселерометры, тензодатчики, наклономеры, температура, трафик, инспекции</t>
  </si>
  <si>
    <t>Физические сигналы</t>
  </si>
  <si>
    <t>Телеметрия</t>
  </si>
  <si>
    <t>Непрерывное наблюдение</t>
  </si>
  <si>
    <t>2. Edge-сбор</t>
  </si>
  <si>
    <t>IoT / Edge</t>
  </si>
  <si>
    <t>ESP32/industrial gateway, локальный RMS/FFT</t>
  </si>
  <si>
    <t>Сырые сигналы</t>
  </si>
  <si>
    <t>Признаки и пакеты</t>
  </si>
  <si>
    <t>Сокращение объёма и первичная проверка</t>
  </si>
  <si>
    <t>3. Передача</t>
  </si>
  <si>
    <t>Data Ingestion</t>
  </si>
  <si>
    <t>MQTT → Apache Kafka / NiFi</t>
  </si>
  <si>
    <t>Поток событий</t>
  </si>
  <si>
    <t>Топики Kafka</t>
  </si>
  <si>
    <t>Надёжная доставка</t>
  </si>
  <si>
    <t>4. Хранение</t>
  </si>
  <si>
    <t>Data Storage</t>
  </si>
  <si>
    <t>Data Lake S3/HDFS + Parquet; PostgreSQL/TimescaleDB</t>
  </si>
  <si>
    <t>Сырой и очищенный поток</t>
  </si>
  <si>
    <t>Raw / Processed / Analytical</t>
  </si>
  <si>
    <t>История измерений</t>
  </si>
  <si>
    <t>5. Обработка</t>
  </si>
  <si>
    <t>Data Processing</t>
  </si>
  <si>
    <t>Spark Structured Streaming + batch Spark</t>
  </si>
  <si>
    <t>Очищенные признаки и агрегаты</t>
  </si>
  <si>
    <t>ETL, окна, группировки</t>
  </si>
  <si>
    <t>6. Анализ</t>
  </si>
  <si>
    <t>Data Analytics</t>
  </si>
  <si>
    <t>Spark SQL / MLlib / anomaly detection</t>
  </si>
  <si>
    <t>Признаки</t>
  </si>
  <si>
    <t>Риск, тренды, аномалии</t>
  </si>
  <si>
    <t>Раннее выявление ухудшения</t>
  </si>
  <si>
    <t>7. Визуализация</t>
  </si>
  <si>
    <t>Data Visualization</t>
  </si>
  <si>
    <t>Grafana / Power BI / GIS / Digital Twin</t>
  </si>
  <si>
    <t>Метрики</t>
  </si>
  <si>
    <t>Дашборды и карта</t>
  </si>
  <si>
    <t>Контроль состояния</t>
  </si>
  <si>
    <t>8. Решение</t>
  </si>
  <si>
    <t>Decision Making</t>
  </si>
  <si>
    <t>Уведомление, внеплановый осмотр, ограничение нагрузки, ремонт</t>
  </si>
  <si>
    <t>Заявка и действие</t>
  </si>
  <si>
    <t>Обслуживание по состоянию</t>
  </si>
  <si>
    <t>ИСТОЧНИКИ: акселерометры + тензодатчики + температура + трафик + инспекции</t>
  </si>
  <si>
    <t>↓</t>
  </si>
  <si>
    <t>EDGE: IoT Gateway → фильтрация → RMS / FFT</t>
  </si>
  <si>
    <t>ПЕРЕДАЧА: MQTT → Kafka / NiFi</t>
  </si>
  <si>
    <t>ХРАНЕНИЕ: Data Lake → Raw / Processed / Analytical</t>
  </si>
  <si>
    <t>ОБРАБОТКА: Spark Structured Streaming + batch</t>
  </si>
  <si>
    <t>АНАЛИЗ: Spark SQL / MLlib → индекс износа / риск / аномалии</t>
  </si>
  <si>
    <t>ВИЗУАЛИЗАЦИЯ: Grafana / Power BI / GIS / Digital Twin</t>
  </si>
  <si>
    <t>РЕШЕНИЕ: предупреждение → обследование → ограничение нагрузки / ремонт</t>
  </si>
  <si>
    <t>Вывод по лабораторной работе</t>
  </si>
  <si>
    <t>В работе подготовлена выборка из 60 записей для мониторинга мостов и путепроводов. Для каждого объекта указаны район, тип конструкции, уровень вибрации, индекс износа, обслуживающая организация и категория риска. Средние показатели рассчитаны отдельно по типам конструкций и организациям.
В MapReduce район используется как ключ, а объект высокой категории риска получает значение 1. После группировки значения суммируются. В Spark выполнена группировка по обслуживающей организации и категории риска с подсчётом объектов и средних показателей.
Для постоянного мониторинга подходит схема IoT Structural Health: датчики → edge-шлюз → MQTT/Kafka → Data Lake → Spark → аналитика → Grafana/Power BI/Digital Twin. Такая архитектура позволяет видеть ухудшение состояния объекта до очередного планового обследования и быстрее передавать информацию обслуживающей организации.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</si>
</sst>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b/>
      <sz val="11"/>
      <name val="Carlito"/>
    </font>
    <font>
      <b/>
      <sz val="14"/>
      <name val="Carlito"/>
    </font>
    <font>
      <b/>
      <sz val="11"/>
      <color rgb="FF1F2937"/>
      <name val="Carlito"/>
    </font>
    <font>
      <sz val="11"/>
      <color rgb="FF1F2937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5D4B"/>
      </patternFill>
    </fill>
    <fill>
      <patternFill patternType="solid">
        <fgColor rgb="FF147D64"/>
      </patternFill>
    </fill>
    <fill>
      <patternFill patternType="solid">
        <fgColor rgb="FFEAF4F1"/>
      </patternFill>
    </fill>
    <fill>
      <patternFill patternType="solid">
        <fgColor rgb="FFD8F3DC"/>
      </patternFill>
    </fill>
    <fill>
      <patternFill patternType="solid">
        <fgColor rgb="FFDDF3EB"/>
      </patternFill>
    </fill>
    <fill>
      <patternFill patternType="solid">
        <fgColor rgb="FFF6FA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4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left" vertical="center"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4" fillId="5" borderId="0" xfId="1" applyFont="1" applyFill="1" applyAlignment="1">
      <alignment horizontal="center" wrapText="1"/>
    </xf>
    <xf numFmtId="0" fontId="5" fillId="0" borderId="0" xfId="1" applyFont="1" applyAlignment="1">
      <alignment horizontal="center" wrapText="1"/>
    </xf>
    <xf numFmtId="0" fontId="6" fillId="6" borderId="0" xfId="1" applyFont="1" applyFill="1" applyAlignment="1">
      <alignment horizontal="center" vertical="center" wrapText="1"/>
    </xf>
    <xf numFmtId="0" fontId="7" fillId="7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6">
    <dxf>
      <fill>
        <patternFill>
          <bgColor rgb="FFFFF4CC"/>
        </patternFill>
      </fill>
    </dxf>
    <dxf>
      <fill>
        <patternFill>
          <bgColor rgb="FFFDE8E8"/>
        </patternFill>
      </fill>
    </dxf>
    <dxf>
      <fill>
        <patternFill>
          <bgColor rgb="FFE6F4EA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Средний индекс износа по типам конструкций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Средний износ, %</c:v>
          </c:tx>
          <c:invertIfNegative val="1"/>
          <c:cat>
            <c:strRef>
              <c:f>Анализ!$A$15:$A$20</c:f>
              <c:strCache>
                <c:ptCount val="6"/>
                <c:pt idx="0">
                  <c:v>Стальной балочный</c:v>
                </c:pt>
                <c:pt idx="1">
                  <c:v>Железобетонный балочный</c:v>
                </c:pt>
                <c:pt idx="2">
                  <c:v>Коробчатый железобетонный</c:v>
                </c:pt>
                <c:pt idx="3">
                  <c:v>Арочный стальной</c:v>
                </c:pt>
                <c:pt idx="4">
                  <c:v>Вантовый</c:v>
                </c:pt>
                <c:pt idx="5">
                  <c:v>Рамный путепровод</c:v>
                </c:pt>
              </c:strCache>
            </c:strRef>
          </c:cat>
          <c:val>
            <c:numRef>
              <c:f>Анализ!$B$15:$B$20</c:f>
              <c:numCache>
                <c:formatCode>0.00</c:formatCode>
                <c:ptCount val="6"/>
                <c:pt idx="0">
                  <c:v>34.959999999999994</c:v>
                </c:pt>
                <c:pt idx="1">
                  <c:v>38.53</c:v>
                </c:pt>
                <c:pt idx="2">
                  <c:v>45.37</c:v>
                </c:pt>
                <c:pt idx="3">
                  <c:v>57.21</c:v>
                </c:pt>
                <c:pt idx="4">
                  <c:v>62.260000000000005</c:v>
                </c:pt>
                <c:pt idx="5">
                  <c:v>63.609999999999992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0-44CB-AEA5-A4EFACD2B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Объекты высокого риска по районам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Объекты высокого риска</c:v>
          </c:tx>
          <c:invertIfNegative val="1"/>
          <c:cat>
            <c:strRef>
              <c:f>Анализ!$F$15:$F$20</c:f>
              <c:strCache>
                <c:ptCount val="6"/>
                <c:pt idx="0">
                  <c:v>Центральный</c:v>
                </c:pt>
                <c:pt idx="1">
                  <c:v>Северный</c:v>
                </c:pt>
                <c:pt idx="2">
                  <c:v>Южный</c:v>
                </c:pt>
                <c:pt idx="3">
                  <c:v>Восточный</c:v>
                </c:pt>
                <c:pt idx="4">
                  <c:v>Западный</c:v>
                </c:pt>
                <c:pt idx="5">
                  <c:v>Промышленный</c:v>
                </c:pt>
              </c:strCache>
            </c:strRef>
          </c:cat>
          <c:val>
            <c:numRef>
              <c:f>Анализ!$G$15:$G$20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3-4D89-9241-6B22A1CEE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WaterData" displayName="RawWaterData" ref="A2:I62" totalsRowShown="0">
  <tableColumns count="9">
    <tableColumn id="1" xr3:uid="{00000000-0010-0000-0000-000001000000}" name="№ станции водозабора"/>
    <tableColumn id="2" xr3:uid="{00000000-0010-0000-0000-000002000000}" name="Район"/>
    <tableColumn id="3" xr3:uid="{00000000-0010-0000-0000-000003000000}" name="Показатель мутности, NTU"/>
    <tableColumn id="4" xr3:uid="{00000000-0010-0000-0000-000004000000}" name="Уровень pH"/>
    <tableColumn id="5" xr3:uid="{00000000-0010-0000-0000-000005000000}" name="Содержание хлора, мг/л"/>
    <tableColumn id="6" xr3:uid="{00000000-0010-0000-0000-000006000000}" name="Водоканал-подрядчик"/>
    <tableColumn id="7" xr3:uid="{00000000-0010-0000-0000-000007000000}" name="Соответствие СанПиН"/>
    <tableColumn id="8" xr3:uid="{00000000-0010-0000-0000-000008000000}" name="Станция / точка измерения"/>
    <tableColumn id="9" xr3:uid="{00000000-0010-0000-0000-000009000000}" name="Источник данны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sqref="A1:D1"/>
    </sheetView>
  </sheetViews>
  <sheetFormatPr defaultRowHeight="14.15"/>
  <cols>
    <col min="1" max="4" width="24" customWidth="1"/>
  </cols>
  <sheetData>
    <row r="1" spans="1:4" ht="16" customHeight="1">
      <c r="A1" s="6" t="s">
        <v>0</v>
      </c>
      <c r="B1" s="6"/>
      <c r="C1" s="6"/>
      <c r="D1" s="6"/>
    </row>
    <row r="2" spans="1:4">
      <c r="A2" s="2"/>
      <c r="B2" s="2"/>
      <c r="C2" s="2"/>
      <c r="D2" s="2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 ht="28.3">
      <c r="A4" s="2" t="s">
        <v>5</v>
      </c>
      <c r="B4" s="2">
        <v>70</v>
      </c>
      <c r="C4" s="2" t="s">
        <v>6</v>
      </c>
      <c r="D4" s="2" t="s">
        <v>7</v>
      </c>
    </row>
    <row r="5" spans="1:4" ht="28.3">
      <c r="A5" s="2" t="s">
        <v>8</v>
      </c>
      <c r="B5" s="2">
        <v>5</v>
      </c>
      <c r="C5" s="2" t="s">
        <v>9</v>
      </c>
      <c r="D5" s="2" t="s">
        <v>7</v>
      </c>
    </row>
    <row r="6" spans="1:4" ht="42.45">
      <c r="A6" s="2" t="s">
        <v>10</v>
      </c>
      <c r="B6" s="2">
        <v>40</v>
      </c>
      <c r="C6" s="2" t="s">
        <v>6</v>
      </c>
      <c r="D6" s="2" t="s">
        <v>11</v>
      </c>
    </row>
    <row r="7" spans="1:4" ht="42.45">
      <c r="A7" s="2" t="s">
        <v>12</v>
      </c>
      <c r="B7" s="2">
        <v>2.5</v>
      </c>
      <c r="C7" s="2" t="s">
        <v>9</v>
      </c>
      <c r="D7" s="2" t="s">
        <v>11</v>
      </c>
    </row>
    <row r="8" spans="1:4">
      <c r="A8" s="2"/>
      <c r="B8" s="2"/>
      <c r="C8" s="2"/>
      <c r="D8" s="2"/>
    </row>
    <row r="9" spans="1:4" ht="56.6">
      <c r="A9" s="2" t="s">
        <v>13</v>
      </c>
      <c r="B9" s="2" t="s">
        <v>14</v>
      </c>
      <c r="C9" s="2"/>
      <c r="D9" s="2"/>
    </row>
    <row r="10" spans="1:4" ht="28.3">
      <c r="A10" s="2" t="s">
        <v>15</v>
      </c>
      <c r="B10" s="7" t="s">
        <v>16</v>
      </c>
      <c r="C10" s="7"/>
      <c r="D10" s="7"/>
    </row>
    <row r="11" spans="1:4">
      <c r="A11" s="2"/>
      <c r="B11" s="2"/>
      <c r="C11" s="2"/>
      <c r="D11" s="2"/>
    </row>
    <row r="12" spans="1:4">
      <c r="A12" s="8" t="s">
        <v>17</v>
      </c>
      <c r="B12" s="8"/>
      <c r="C12" s="8"/>
      <c r="D12" s="8"/>
    </row>
    <row r="13" spans="1:4">
      <c r="A13" s="8"/>
      <c r="B13" s="8"/>
      <c r="C13" s="8"/>
      <c r="D13" s="8"/>
    </row>
    <row r="14" spans="1:4">
      <c r="A14" s="8"/>
      <c r="B14" s="8"/>
      <c r="C14" s="8"/>
      <c r="D14" s="8"/>
    </row>
  </sheetData>
  <mergeCells count="3">
    <mergeCell ref="A1:D1"/>
    <mergeCell ref="B10:D10"/>
    <mergeCell ref="A12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workbookViewId="0"/>
  </sheetViews>
  <sheetFormatPr defaultRowHeight="14.15"/>
  <cols>
    <col min="1" max="1" width="75" customWidth="1"/>
    <col min="2" max="2" width="16" customWidth="1"/>
    <col min="3" max="3" width="26" customWidth="1"/>
    <col min="4" max="4" width="23" customWidth="1"/>
    <col min="5" max="5" width="17" customWidth="1"/>
    <col min="6" max="6" width="24" customWidth="1"/>
    <col min="7" max="7" width="16.140625" customWidth="1"/>
    <col min="8" max="8" width="11.85546875" customWidth="1"/>
    <col min="9" max="9" width="36" customWidth="1"/>
  </cols>
  <sheetData>
    <row r="1" spans="1:9" ht="16" customHeight="1">
      <c r="A1" s="9" t="s">
        <v>18</v>
      </c>
      <c r="B1" s="9"/>
      <c r="C1" s="9"/>
      <c r="D1" s="9"/>
      <c r="E1" s="9"/>
      <c r="F1" s="9"/>
      <c r="G1" s="9"/>
      <c r="H1" s="9"/>
      <c r="I1" s="9"/>
    </row>
    <row r="2" spans="1:9" ht="28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</row>
    <row r="3" spans="1:9" ht="42.45">
      <c r="A3" s="3">
        <v>1</v>
      </c>
      <c r="B3" s="2" t="s">
        <v>28</v>
      </c>
      <c r="C3" s="4" t="s">
        <v>29</v>
      </c>
      <c r="D3" s="4">
        <v>4.79</v>
      </c>
      <c r="E3" s="5">
        <v>44</v>
      </c>
      <c r="F3" s="2" t="s">
        <v>30</v>
      </c>
      <c r="G3" s="2" t="str">
        <f>IF(OR(E3&gt;=Нормативы!$B$4,D3&gt;=Нормативы!$B$5),"Высокая",IF(OR(E3&gt;=Нормативы!$B$6,D3&gt;=Нормативы!$B$7),"Средняя","Низкая"))</f>
        <v>Средняя</v>
      </c>
      <c r="H3" s="2" t="s">
        <v>31</v>
      </c>
      <c r="I3" s="2" t="s">
        <v>14</v>
      </c>
    </row>
    <row r="4" spans="1:9" ht="42.45">
      <c r="A4" s="3">
        <v>2</v>
      </c>
      <c r="B4" s="2" t="s">
        <v>32</v>
      </c>
      <c r="C4" s="4" t="s">
        <v>33</v>
      </c>
      <c r="D4" s="4">
        <v>3.52</v>
      </c>
      <c r="E4" s="5">
        <v>39.700000000000003</v>
      </c>
      <c r="F4" s="2" t="s">
        <v>34</v>
      </c>
      <c r="G4" s="2" t="str">
        <f>IF(OR(E4&gt;=Нормативы!$B$4,D4&gt;=Нормативы!$B$5),"Высокая",IF(OR(E4&gt;=Нормативы!$B$6,D4&gt;=Нормативы!$B$7),"Средняя","Низкая"))</f>
        <v>Средняя</v>
      </c>
      <c r="H4" s="2" t="s">
        <v>35</v>
      </c>
      <c r="I4" s="2" t="s">
        <v>14</v>
      </c>
    </row>
    <row r="5" spans="1:9" ht="42.45">
      <c r="A5" s="3">
        <v>3</v>
      </c>
      <c r="B5" s="2" t="s">
        <v>36</v>
      </c>
      <c r="C5" s="4" t="s">
        <v>37</v>
      </c>
      <c r="D5" s="4">
        <v>3.23</v>
      </c>
      <c r="E5" s="5">
        <v>43.8</v>
      </c>
      <c r="F5" s="2" t="s">
        <v>38</v>
      </c>
      <c r="G5" s="2" t="str">
        <f>IF(OR(E5&gt;=Нормативы!$B$4,D5&gt;=Нормативы!$B$5),"Высокая",IF(OR(E5&gt;=Нормативы!$B$6,D5&gt;=Нормативы!$B$7),"Средняя","Низкая"))</f>
        <v>Средняя</v>
      </c>
      <c r="H5" s="2" t="s">
        <v>39</v>
      </c>
      <c r="I5" s="2" t="s">
        <v>14</v>
      </c>
    </row>
    <row r="6" spans="1:9" ht="42.45">
      <c r="A6" s="3">
        <v>4</v>
      </c>
      <c r="B6" s="2" t="s">
        <v>40</v>
      </c>
      <c r="C6" s="4" t="s">
        <v>41</v>
      </c>
      <c r="D6" s="4">
        <v>4.1399999999999997</v>
      </c>
      <c r="E6" s="5">
        <v>50.9</v>
      </c>
      <c r="F6" s="2" t="s">
        <v>30</v>
      </c>
      <c r="G6" s="2" t="str">
        <f>IF(OR(E6&gt;=Нормативы!$B$4,D6&gt;=Нормативы!$B$5),"Высокая",IF(OR(E6&gt;=Нормативы!$B$6,D6&gt;=Нормативы!$B$7),"Средняя","Низкая"))</f>
        <v>Средняя</v>
      </c>
      <c r="H6" s="2" t="s">
        <v>42</v>
      </c>
      <c r="I6" s="2" t="s">
        <v>14</v>
      </c>
    </row>
    <row r="7" spans="1:9" ht="42.45">
      <c r="A7" s="3">
        <v>5</v>
      </c>
      <c r="B7" s="2" t="s">
        <v>40</v>
      </c>
      <c r="C7" s="4" t="s">
        <v>43</v>
      </c>
      <c r="D7" s="4">
        <v>6.24</v>
      </c>
      <c r="E7" s="5">
        <v>69.400000000000006</v>
      </c>
      <c r="F7" s="2" t="s">
        <v>34</v>
      </c>
      <c r="G7" s="2" t="str">
        <f>IF(OR(E7&gt;=Нормативы!$B$4,D7&gt;=Нормативы!$B$5),"Высокая",IF(OR(E7&gt;=Нормативы!$B$6,D7&gt;=Нормативы!$B$7),"Средняя","Низкая"))</f>
        <v>Высокая</v>
      </c>
      <c r="H7" s="2" t="s">
        <v>44</v>
      </c>
      <c r="I7" s="2" t="s">
        <v>14</v>
      </c>
    </row>
    <row r="8" spans="1:9" ht="42.45">
      <c r="A8" s="3">
        <v>6</v>
      </c>
      <c r="B8" s="2" t="s">
        <v>45</v>
      </c>
      <c r="C8" s="4" t="s">
        <v>46</v>
      </c>
      <c r="D8" s="4">
        <v>4.62</v>
      </c>
      <c r="E8" s="5">
        <v>69</v>
      </c>
      <c r="F8" s="2" t="s">
        <v>38</v>
      </c>
      <c r="G8" s="2" t="str">
        <f>IF(OR(E8&gt;=Нормативы!$B$4,D8&gt;=Нормативы!$B$5),"Высокая",IF(OR(E8&gt;=Нормативы!$B$6,D8&gt;=Нормативы!$B$7),"Средняя","Низкая"))</f>
        <v>Средняя</v>
      </c>
      <c r="H8" s="2" t="s">
        <v>47</v>
      </c>
      <c r="I8" s="2" t="s">
        <v>14</v>
      </c>
    </row>
    <row r="9" spans="1:9" ht="42.45">
      <c r="A9" s="3">
        <v>7</v>
      </c>
      <c r="B9" s="2" t="s">
        <v>48</v>
      </c>
      <c r="C9" s="4" t="s">
        <v>29</v>
      </c>
      <c r="D9" s="4">
        <v>3.24</v>
      </c>
      <c r="E9" s="5">
        <v>38.799999999999997</v>
      </c>
      <c r="F9" s="2" t="s">
        <v>38</v>
      </c>
      <c r="G9" s="2" t="str">
        <f>IF(OR(E9&gt;=Нормативы!$B$4,D9&gt;=Нормативы!$B$5),"Высокая",IF(OR(E9&gt;=Нормативы!$B$6,D9&gt;=Нормативы!$B$7),"Средняя","Низкая"))</f>
        <v>Средняя</v>
      </c>
      <c r="H9" s="2" t="s">
        <v>49</v>
      </c>
      <c r="I9" s="2" t="s">
        <v>14</v>
      </c>
    </row>
    <row r="10" spans="1:9" ht="42.45">
      <c r="A10" s="3">
        <v>8</v>
      </c>
      <c r="B10" s="2" t="s">
        <v>28</v>
      </c>
      <c r="C10" s="4" t="s">
        <v>33</v>
      </c>
      <c r="D10" s="4">
        <v>2.65</v>
      </c>
      <c r="E10" s="5">
        <v>35.299999999999997</v>
      </c>
      <c r="F10" s="2" t="s">
        <v>30</v>
      </c>
      <c r="G10" s="2" t="str">
        <f>IF(OR(E10&gt;=Нормативы!$B$4,D10&gt;=Нормативы!$B$5),"Высокая",IF(OR(E10&gt;=Нормативы!$B$6,D10&gt;=Нормативы!$B$7),"Средняя","Низкая"))</f>
        <v>Средняя</v>
      </c>
      <c r="H10" s="2" t="s">
        <v>50</v>
      </c>
      <c r="I10" s="2" t="s">
        <v>14</v>
      </c>
    </row>
    <row r="11" spans="1:9" ht="42.45">
      <c r="A11" s="3">
        <v>9</v>
      </c>
      <c r="B11" s="2" t="s">
        <v>28</v>
      </c>
      <c r="C11" s="4" t="s">
        <v>37</v>
      </c>
      <c r="D11" s="4">
        <v>4.1900000000000004</v>
      </c>
      <c r="E11" s="5">
        <v>48.3</v>
      </c>
      <c r="F11" s="2" t="s">
        <v>34</v>
      </c>
      <c r="G11" s="2" t="str">
        <f>IF(OR(E11&gt;=Нормативы!$B$4,D11&gt;=Нормативы!$B$5),"Высокая",IF(OR(E11&gt;=Нормативы!$B$6,D11&gt;=Нормативы!$B$7),"Средняя","Низкая"))</f>
        <v>Средняя</v>
      </c>
      <c r="H11" s="2" t="s">
        <v>51</v>
      </c>
      <c r="I11" s="2" t="s">
        <v>14</v>
      </c>
    </row>
    <row r="12" spans="1:9" ht="42.45">
      <c r="A12" s="3">
        <v>10</v>
      </c>
      <c r="B12" s="2" t="s">
        <v>32</v>
      </c>
      <c r="C12" s="4" t="s">
        <v>41</v>
      </c>
      <c r="D12" s="4">
        <v>3.74</v>
      </c>
      <c r="E12" s="5">
        <v>49.9</v>
      </c>
      <c r="F12" s="2" t="s">
        <v>38</v>
      </c>
      <c r="G12" s="2" t="str">
        <f>IF(OR(E12&gt;=Нормативы!$B$4,D12&gt;=Нормативы!$B$5),"Высокая",IF(OR(E12&gt;=Нормативы!$B$6,D12&gt;=Нормативы!$B$7),"Средняя","Низкая"))</f>
        <v>Средняя</v>
      </c>
      <c r="H12" s="2" t="s">
        <v>52</v>
      </c>
      <c r="I12" s="2" t="s">
        <v>14</v>
      </c>
    </row>
    <row r="13" spans="1:9" ht="42.45">
      <c r="A13" s="3">
        <v>11</v>
      </c>
      <c r="B13" s="2" t="s">
        <v>36</v>
      </c>
      <c r="C13" s="4" t="s">
        <v>43</v>
      </c>
      <c r="D13" s="4">
        <v>5.0599999999999996</v>
      </c>
      <c r="E13" s="5">
        <v>64.5</v>
      </c>
      <c r="F13" s="2" t="s">
        <v>30</v>
      </c>
      <c r="G13" s="2" t="str">
        <f>IF(OR(E13&gt;=Нормативы!$B$4,D13&gt;=Нормативы!$B$5),"Высокая",IF(OR(E13&gt;=Нормативы!$B$6,D13&gt;=Нормативы!$B$7),"Средняя","Низкая"))</f>
        <v>Высокая</v>
      </c>
      <c r="H13" s="2" t="s">
        <v>53</v>
      </c>
      <c r="I13" s="2" t="s">
        <v>14</v>
      </c>
    </row>
    <row r="14" spans="1:9" ht="42.45">
      <c r="A14" s="3">
        <v>12</v>
      </c>
      <c r="B14" s="2" t="s">
        <v>40</v>
      </c>
      <c r="C14" s="4" t="s">
        <v>46</v>
      </c>
      <c r="D14" s="4">
        <v>4.76</v>
      </c>
      <c r="E14" s="5">
        <v>63</v>
      </c>
      <c r="F14" s="2" t="s">
        <v>34</v>
      </c>
      <c r="G14" s="2" t="str">
        <f>IF(OR(E14&gt;=Нормативы!$B$4,D14&gt;=Нормативы!$B$5),"Высокая",IF(OR(E14&gt;=Нормативы!$B$6,D14&gt;=Нормативы!$B$7),"Средняя","Низкая"))</f>
        <v>Средняя</v>
      </c>
      <c r="H14" s="2" t="s">
        <v>54</v>
      </c>
      <c r="I14" s="2" t="s">
        <v>14</v>
      </c>
    </row>
    <row r="15" spans="1:9" ht="42.45">
      <c r="A15" s="3">
        <v>13</v>
      </c>
      <c r="B15" s="2" t="s">
        <v>40</v>
      </c>
      <c r="C15" s="4" t="s">
        <v>29</v>
      </c>
      <c r="D15" s="4">
        <v>3.02</v>
      </c>
      <c r="E15" s="5">
        <v>39.200000000000003</v>
      </c>
      <c r="F15" s="2" t="s">
        <v>34</v>
      </c>
      <c r="G15" s="2" t="str">
        <f>IF(OR(E15&gt;=Нормативы!$B$4,D15&gt;=Нормативы!$B$5),"Высокая",IF(OR(E15&gt;=Нормативы!$B$6,D15&gt;=Нормативы!$B$7),"Средняя","Низкая"))</f>
        <v>Средняя</v>
      </c>
      <c r="H15" s="2" t="s">
        <v>55</v>
      </c>
      <c r="I15" s="2" t="s">
        <v>14</v>
      </c>
    </row>
    <row r="16" spans="1:9" ht="42.45">
      <c r="A16" s="3">
        <v>14</v>
      </c>
      <c r="B16" s="2" t="s">
        <v>45</v>
      </c>
      <c r="C16" s="4" t="s">
        <v>33</v>
      </c>
      <c r="D16" s="4">
        <v>2.61</v>
      </c>
      <c r="E16" s="5">
        <v>41.4</v>
      </c>
      <c r="F16" s="2" t="s">
        <v>38</v>
      </c>
      <c r="G16" s="2" t="str">
        <f>IF(OR(E16&gt;=Нормативы!$B$4,D16&gt;=Нормативы!$B$5),"Высокая",IF(OR(E16&gt;=Нормативы!$B$6,D16&gt;=Нормативы!$B$7),"Средняя","Низкая"))</f>
        <v>Средняя</v>
      </c>
      <c r="H16" s="2" t="s">
        <v>56</v>
      </c>
      <c r="I16" s="2" t="s">
        <v>14</v>
      </c>
    </row>
    <row r="17" spans="1:9" ht="42.45">
      <c r="A17" s="3">
        <v>15</v>
      </c>
      <c r="B17" s="2" t="s">
        <v>48</v>
      </c>
      <c r="C17" s="4" t="s">
        <v>37</v>
      </c>
      <c r="D17" s="4">
        <v>3.14</v>
      </c>
      <c r="E17" s="5">
        <v>32.9</v>
      </c>
      <c r="F17" s="2" t="s">
        <v>30</v>
      </c>
      <c r="G17" s="2" t="str">
        <f>IF(OR(E17&gt;=Нормативы!$B$4,D17&gt;=Нормативы!$B$5),"Высокая",IF(OR(E17&gt;=Нормативы!$B$6,D17&gt;=Нормативы!$B$7),"Средняя","Низкая"))</f>
        <v>Средняя</v>
      </c>
      <c r="H17" s="2" t="s">
        <v>57</v>
      </c>
      <c r="I17" s="2" t="s">
        <v>14</v>
      </c>
    </row>
    <row r="18" spans="1:9" ht="42.45">
      <c r="A18" s="3">
        <v>16</v>
      </c>
      <c r="B18" s="2" t="s">
        <v>28</v>
      </c>
      <c r="C18" s="4" t="s">
        <v>41</v>
      </c>
      <c r="D18" s="4">
        <v>4.4000000000000004</v>
      </c>
      <c r="E18" s="5">
        <v>60.2</v>
      </c>
      <c r="F18" s="2" t="s">
        <v>34</v>
      </c>
      <c r="G18" s="2" t="str">
        <f>IF(OR(E18&gt;=Нормативы!$B$4,D18&gt;=Нормативы!$B$5),"Высокая",IF(OR(E18&gt;=Нормативы!$B$6,D18&gt;=Нормативы!$B$7),"Средняя","Низкая"))</f>
        <v>Средняя</v>
      </c>
      <c r="H18" s="2" t="s">
        <v>58</v>
      </c>
      <c r="I18" s="2" t="s">
        <v>14</v>
      </c>
    </row>
    <row r="19" spans="1:9" ht="42.45">
      <c r="A19" s="3">
        <v>17</v>
      </c>
      <c r="B19" s="2" t="s">
        <v>28</v>
      </c>
      <c r="C19" s="4" t="s">
        <v>43</v>
      </c>
      <c r="D19" s="4">
        <v>5.47</v>
      </c>
      <c r="E19" s="5">
        <v>55.4</v>
      </c>
      <c r="F19" s="2" t="s">
        <v>38</v>
      </c>
      <c r="G19" s="2" t="str">
        <f>IF(OR(E19&gt;=Нормативы!$B$4,D19&gt;=Нормативы!$B$5),"Высокая",IF(OR(E19&gt;=Нормативы!$B$6,D19&gt;=Нормативы!$B$7),"Средняя","Низкая"))</f>
        <v>Высокая</v>
      </c>
      <c r="H19" s="2" t="s">
        <v>59</v>
      </c>
      <c r="I19" s="2" t="s">
        <v>14</v>
      </c>
    </row>
    <row r="20" spans="1:9" ht="42.45">
      <c r="A20" s="3">
        <v>18</v>
      </c>
      <c r="B20" s="2" t="s">
        <v>32</v>
      </c>
      <c r="C20" s="4" t="s">
        <v>46</v>
      </c>
      <c r="D20" s="4">
        <v>5.91</v>
      </c>
      <c r="E20" s="5">
        <v>77.7</v>
      </c>
      <c r="F20" s="2" t="s">
        <v>30</v>
      </c>
      <c r="G20" s="2" t="str">
        <f>IF(OR(E20&gt;=Нормативы!$B$4,D20&gt;=Нормативы!$B$5),"Высокая",IF(OR(E20&gt;=Нормативы!$B$6,D20&gt;=Нормативы!$B$7),"Средняя","Низкая"))</f>
        <v>Высокая</v>
      </c>
      <c r="H20" s="2" t="s">
        <v>60</v>
      </c>
      <c r="I20" s="2" t="s">
        <v>14</v>
      </c>
    </row>
    <row r="21" spans="1:9" ht="42.45">
      <c r="A21" s="3">
        <v>19</v>
      </c>
      <c r="B21" s="2" t="s">
        <v>36</v>
      </c>
      <c r="C21" s="4" t="s">
        <v>29</v>
      </c>
      <c r="D21" s="4">
        <v>2.5099999999999998</v>
      </c>
      <c r="E21" s="5">
        <v>34.200000000000003</v>
      </c>
      <c r="F21" s="2" t="s">
        <v>30</v>
      </c>
      <c r="G21" s="2" t="str">
        <f>IF(OR(E21&gt;=Нормативы!$B$4,D21&gt;=Нормативы!$B$5),"Высокая",IF(OR(E21&gt;=Нормативы!$B$6,D21&gt;=Нормативы!$B$7),"Средняя","Низкая"))</f>
        <v>Средняя</v>
      </c>
      <c r="H21" s="2" t="s">
        <v>61</v>
      </c>
      <c r="I21" s="2" t="s">
        <v>14</v>
      </c>
    </row>
    <row r="22" spans="1:9" ht="42.45">
      <c r="A22" s="3">
        <v>20</v>
      </c>
      <c r="B22" s="2" t="s">
        <v>40</v>
      </c>
      <c r="C22" s="4" t="s">
        <v>33</v>
      </c>
      <c r="D22" s="4">
        <v>3.58</v>
      </c>
      <c r="E22" s="5">
        <v>42.4</v>
      </c>
      <c r="F22" s="2" t="s">
        <v>34</v>
      </c>
      <c r="G22" s="2" t="str">
        <f>IF(OR(E22&gt;=Нормативы!$B$4,D22&gt;=Нормативы!$B$5),"Высокая",IF(OR(E22&gt;=Нормативы!$B$6,D22&gt;=Нормативы!$B$7),"Средняя","Низкая"))</f>
        <v>Средняя</v>
      </c>
      <c r="H22" s="2" t="s">
        <v>62</v>
      </c>
      <c r="I22" s="2" t="s">
        <v>14</v>
      </c>
    </row>
    <row r="23" spans="1:9" ht="42.45">
      <c r="A23" s="3">
        <v>21</v>
      </c>
      <c r="B23" s="2" t="s">
        <v>40</v>
      </c>
      <c r="C23" s="4" t="s">
        <v>37</v>
      </c>
      <c r="D23" s="4">
        <v>3.05</v>
      </c>
      <c r="E23" s="5">
        <v>45.7</v>
      </c>
      <c r="F23" s="2" t="s">
        <v>38</v>
      </c>
      <c r="G23" s="2" t="str">
        <f>IF(OR(E23&gt;=Нормативы!$B$4,D23&gt;=Нормативы!$B$5),"Высокая",IF(OR(E23&gt;=Нормативы!$B$6,D23&gt;=Нормативы!$B$7),"Средняя","Низкая"))</f>
        <v>Средняя</v>
      </c>
      <c r="H23" s="2" t="s">
        <v>63</v>
      </c>
      <c r="I23" s="2" t="s">
        <v>14</v>
      </c>
    </row>
    <row r="24" spans="1:9" ht="42.45">
      <c r="A24" s="3">
        <v>22</v>
      </c>
      <c r="B24" s="2" t="s">
        <v>45</v>
      </c>
      <c r="C24" s="4" t="s">
        <v>41</v>
      </c>
      <c r="D24" s="4">
        <v>3.88</v>
      </c>
      <c r="E24" s="5">
        <v>46.6</v>
      </c>
      <c r="F24" s="2" t="s">
        <v>30</v>
      </c>
      <c r="G24" s="2" t="str">
        <f>IF(OR(E24&gt;=Нормативы!$B$4,D24&gt;=Нормативы!$B$5),"Высокая",IF(OR(E24&gt;=Нормативы!$B$6,D24&gt;=Нормативы!$B$7),"Средняя","Низкая"))</f>
        <v>Средняя</v>
      </c>
      <c r="H24" s="2" t="s">
        <v>64</v>
      </c>
      <c r="I24" s="2" t="s">
        <v>14</v>
      </c>
    </row>
    <row r="25" spans="1:9" ht="42.45">
      <c r="A25" s="3">
        <v>23</v>
      </c>
      <c r="B25" s="2" t="s">
        <v>48</v>
      </c>
      <c r="C25" s="4" t="s">
        <v>43</v>
      </c>
      <c r="D25" s="4">
        <v>5.7</v>
      </c>
      <c r="E25" s="5">
        <v>60.7</v>
      </c>
      <c r="F25" s="2" t="s">
        <v>34</v>
      </c>
      <c r="G25" s="2" t="str">
        <f>IF(OR(E25&gt;=Нормативы!$B$4,D25&gt;=Нормативы!$B$5),"Высокая",IF(OR(E25&gt;=Нормативы!$B$6,D25&gt;=Нормативы!$B$7),"Средняя","Низкая"))</f>
        <v>Высокая</v>
      </c>
      <c r="H25" s="2" t="s">
        <v>65</v>
      </c>
      <c r="I25" s="2" t="s">
        <v>14</v>
      </c>
    </row>
    <row r="26" spans="1:9" ht="42.45">
      <c r="A26" s="3">
        <v>24</v>
      </c>
      <c r="B26" s="2" t="s">
        <v>28</v>
      </c>
      <c r="C26" s="4" t="s">
        <v>46</v>
      </c>
      <c r="D26" s="4">
        <v>4.1399999999999997</v>
      </c>
      <c r="E26" s="5">
        <v>62.6</v>
      </c>
      <c r="F26" s="2" t="s">
        <v>38</v>
      </c>
      <c r="G26" s="2" t="str">
        <f>IF(OR(E26&gt;=Нормативы!$B$4,D26&gt;=Нормативы!$B$5),"Высокая",IF(OR(E26&gt;=Нормативы!$B$6,D26&gt;=Нормативы!$B$7),"Средняя","Низкая"))</f>
        <v>Средняя</v>
      </c>
      <c r="H26" s="2" t="s">
        <v>66</v>
      </c>
      <c r="I26" s="2" t="s">
        <v>14</v>
      </c>
    </row>
    <row r="27" spans="1:9" ht="42.45">
      <c r="A27" s="3">
        <v>25</v>
      </c>
      <c r="B27" s="2" t="s">
        <v>28</v>
      </c>
      <c r="C27" s="4" t="s">
        <v>29</v>
      </c>
      <c r="D27" s="4">
        <v>3.59</v>
      </c>
      <c r="E27" s="5">
        <v>36.1</v>
      </c>
      <c r="F27" s="2" t="s">
        <v>38</v>
      </c>
      <c r="G27" s="2" t="str">
        <f>IF(OR(E27&gt;=Нормативы!$B$4,D27&gt;=Нормативы!$B$5),"Высокая",IF(OR(E27&gt;=Нормативы!$B$6,D27&gt;=Нормативы!$B$7),"Средняя","Низкая"))</f>
        <v>Средняя</v>
      </c>
      <c r="H27" s="2" t="s">
        <v>67</v>
      </c>
      <c r="I27" s="2" t="s">
        <v>14</v>
      </c>
    </row>
    <row r="28" spans="1:9" ht="42.45">
      <c r="A28" s="3">
        <v>26</v>
      </c>
      <c r="B28" s="2" t="s">
        <v>32</v>
      </c>
      <c r="C28" s="4" t="s">
        <v>33</v>
      </c>
      <c r="D28" s="4">
        <v>2.59</v>
      </c>
      <c r="E28" s="5">
        <v>39.700000000000003</v>
      </c>
      <c r="F28" s="2" t="s">
        <v>30</v>
      </c>
      <c r="G28" s="2" t="str">
        <f>IF(OR(E28&gt;=Нормативы!$B$4,D28&gt;=Нормативы!$B$5),"Высокая",IF(OR(E28&gt;=Нормативы!$B$6,D28&gt;=Нормативы!$B$7),"Средняя","Низкая"))</f>
        <v>Средняя</v>
      </c>
      <c r="H28" s="2" t="s">
        <v>68</v>
      </c>
      <c r="I28" s="2" t="s">
        <v>14</v>
      </c>
    </row>
    <row r="29" spans="1:9" ht="42.45">
      <c r="A29" s="3">
        <v>27</v>
      </c>
      <c r="B29" s="2" t="s">
        <v>36</v>
      </c>
      <c r="C29" s="4" t="s">
        <v>37</v>
      </c>
      <c r="D29" s="4">
        <v>3.86</v>
      </c>
      <c r="E29" s="5">
        <v>61.5</v>
      </c>
      <c r="F29" s="2" t="s">
        <v>34</v>
      </c>
      <c r="G29" s="2" t="str">
        <f>IF(OR(E29&gt;=Нормативы!$B$4,D29&gt;=Нормативы!$B$5),"Высокая",IF(OR(E29&gt;=Нормативы!$B$6,D29&gt;=Нормативы!$B$7),"Средняя","Низкая"))</f>
        <v>Средняя</v>
      </c>
      <c r="H29" s="2" t="s">
        <v>69</v>
      </c>
      <c r="I29" s="2" t="s">
        <v>14</v>
      </c>
    </row>
    <row r="30" spans="1:9" ht="42.45">
      <c r="A30" s="3">
        <v>28</v>
      </c>
      <c r="B30" s="2" t="s">
        <v>40</v>
      </c>
      <c r="C30" s="4" t="s">
        <v>41</v>
      </c>
      <c r="D30" s="4">
        <v>4</v>
      </c>
      <c r="E30" s="5">
        <v>46.1</v>
      </c>
      <c r="F30" s="2" t="s">
        <v>38</v>
      </c>
      <c r="G30" s="2" t="str">
        <f>IF(OR(E30&gt;=Нормативы!$B$4,D30&gt;=Нормативы!$B$5),"Высокая",IF(OR(E30&gt;=Нормативы!$B$6,D30&gt;=Нормативы!$B$7),"Средняя","Низкая"))</f>
        <v>Средняя</v>
      </c>
      <c r="H30" s="2" t="s">
        <v>70</v>
      </c>
      <c r="I30" s="2" t="s">
        <v>14</v>
      </c>
    </row>
    <row r="31" spans="1:9" ht="42.45">
      <c r="A31" s="3">
        <v>29</v>
      </c>
      <c r="B31" s="2" t="s">
        <v>40</v>
      </c>
      <c r="C31" s="4" t="s">
        <v>43</v>
      </c>
      <c r="D31" s="4">
        <v>4.4400000000000004</v>
      </c>
      <c r="E31" s="5">
        <v>50.6</v>
      </c>
      <c r="F31" s="2" t="s">
        <v>30</v>
      </c>
      <c r="G31" s="2" t="str">
        <f>IF(OR(E31&gt;=Нормативы!$B$4,D31&gt;=Нормативы!$B$5),"Высокая",IF(OR(E31&gt;=Нормативы!$B$6,D31&gt;=Нормативы!$B$7),"Средняя","Низкая"))</f>
        <v>Средняя</v>
      </c>
      <c r="H31" s="2" t="s">
        <v>71</v>
      </c>
      <c r="I31" s="2" t="s">
        <v>14</v>
      </c>
    </row>
    <row r="32" spans="1:9" ht="42.45">
      <c r="A32" s="3">
        <v>30</v>
      </c>
      <c r="B32" s="2" t="s">
        <v>45</v>
      </c>
      <c r="C32" s="4" t="s">
        <v>46</v>
      </c>
      <c r="D32" s="4">
        <v>5.35</v>
      </c>
      <c r="E32" s="5">
        <v>60.9</v>
      </c>
      <c r="F32" s="2" t="s">
        <v>34</v>
      </c>
      <c r="G32" s="2" t="str">
        <f>IF(OR(E32&gt;=Нормативы!$B$4,D32&gt;=Нормативы!$B$5),"Высокая",IF(OR(E32&gt;=Нормативы!$B$6,D32&gt;=Нормативы!$B$7),"Средняя","Низкая"))</f>
        <v>Высокая</v>
      </c>
      <c r="H32" s="2" t="s">
        <v>72</v>
      </c>
      <c r="I32" s="2" t="s">
        <v>14</v>
      </c>
    </row>
    <row r="33" spans="1:9" ht="42.45">
      <c r="A33" s="3">
        <v>31</v>
      </c>
      <c r="B33" s="2" t="s">
        <v>48</v>
      </c>
      <c r="C33" s="4" t="s">
        <v>29</v>
      </c>
      <c r="D33" s="4">
        <v>2.5099999999999998</v>
      </c>
      <c r="E33" s="5">
        <v>31.9</v>
      </c>
      <c r="F33" s="2" t="s">
        <v>34</v>
      </c>
      <c r="G33" s="2" t="str">
        <f>IF(OR(E33&gt;=Нормативы!$B$4,D33&gt;=Нормативы!$B$5),"Высокая",IF(OR(E33&gt;=Нормативы!$B$6,D33&gt;=Нормативы!$B$7),"Средняя","Низкая"))</f>
        <v>Средняя</v>
      </c>
      <c r="H33" s="2" t="s">
        <v>73</v>
      </c>
      <c r="I33" s="2" t="s">
        <v>14</v>
      </c>
    </row>
    <row r="34" spans="1:9" ht="42.45">
      <c r="A34" s="3">
        <v>32</v>
      </c>
      <c r="B34" s="2" t="s">
        <v>28</v>
      </c>
      <c r="C34" s="4" t="s">
        <v>33</v>
      </c>
      <c r="D34" s="4">
        <v>2.23</v>
      </c>
      <c r="E34" s="5">
        <v>34.5</v>
      </c>
      <c r="F34" s="2" t="s">
        <v>38</v>
      </c>
      <c r="G34" s="2" t="str">
        <f>IF(OR(E34&gt;=Нормативы!$B$4,D34&gt;=Нормативы!$B$5),"Высокая",IF(OR(E34&gt;=Нормативы!$B$6,D34&gt;=Нормативы!$B$7),"Средняя","Низкая"))</f>
        <v>Низкая</v>
      </c>
      <c r="H34" s="2" t="s">
        <v>74</v>
      </c>
      <c r="I34" s="2" t="s">
        <v>14</v>
      </c>
    </row>
    <row r="35" spans="1:9" ht="42.45">
      <c r="A35" s="3">
        <v>33</v>
      </c>
      <c r="B35" s="2" t="s">
        <v>28</v>
      </c>
      <c r="C35" s="4" t="s">
        <v>37</v>
      </c>
      <c r="D35" s="4">
        <v>3.89</v>
      </c>
      <c r="E35" s="5">
        <v>46.6</v>
      </c>
      <c r="F35" s="2" t="s">
        <v>30</v>
      </c>
      <c r="G35" s="2" t="str">
        <f>IF(OR(E35&gt;=Нормативы!$B$4,D35&gt;=Нормативы!$B$5),"Высокая",IF(OR(E35&gt;=Нормативы!$B$6,D35&gt;=Нормативы!$B$7),"Средняя","Низкая"))</f>
        <v>Средняя</v>
      </c>
      <c r="H35" s="2" t="s">
        <v>75</v>
      </c>
      <c r="I35" s="2" t="s">
        <v>14</v>
      </c>
    </row>
    <row r="36" spans="1:9" ht="42.45">
      <c r="A36" s="3">
        <v>34</v>
      </c>
      <c r="B36" s="2" t="s">
        <v>32</v>
      </c>
      <c r="C36" s="4" t="s">
        <v>41</v>
      </c>
      <c r="D36" s="4">
        <v>5.58</v>
      </c>
      <c r="E36" s="5">
        <v>61.2</v>
      </c>
      <c r="F36" s="2" t="s">
        <v>34</v>
      </c>
      <c r="G36" s="2" t="str">
        <f>IF(OR(E36&gt;=Нормативы!$B$4,D36&gt;=Нормативы!$B$5),"Высокая",IF(OR(E36&gt;=Нормативы!$B$6,D36&gt;=Нормативы!$B$7),"Средняя","Низкая"))</f>
        <v>Высокая</v>
      </c>
      <c r="H36" s="2" t="s">
        <v>76</v>
      </c>
      <c r="I36" s="2" t="s">
        <v>14</v>
      </c>
    </row>
    <row r="37" spans="1:9" ht="42.45">
      <c r="A37" s="3">
        <v>35</v>
      </c>
      <c r="B37" s="2" t="s">
        <v>36</v>
      </c>
      <c r="C37" s="4" t="s">
        <v>43</v>
      </c>
      <c r="D37" s="4">
        <v>5.96</v>
      </c>
      <c r="E37" s="5">
        <v>75</v>
      </c>
      <c r="F37" s="2" t="s">
        <v>38</v>
      </c>
      <c r="G37" s="2" t="str">
        <f>IF(OR(E37&gt;=Нормативы!$B$4,D37&gt;=Нормативы!$B$5),"Высокая",IF(OR(E37&gt;=Нормативы!$B$6,D37&gt;=Нормативы!$B$7),"Средняя","Низкая"))</f>
        <v>Высокая</v>
      </c>
      <c r="H37" s="2" t="s">
        <v>77</v>
      </c>
      <c r="I37" s="2" t="s">
        <v>14</v>
      </c>
    </row>
    <row r="38" spans="1:9" ht="42.45">
      <c r="A38" s="3">
        <v>36</v>
      </c>
      <c r="B38" s="2" t="s">
        <v>40</v>
      </c>
      <c r="C38" s="4" t="s">
        <v>46</v>
      </c>
      <c r="D38" s="4">
        <v>4.07</v>
      </c>
      <c r="E38" s="5">
        <v>53.9</v>
      </c>
      <c r="F38" s="2" t="s">
        <v>30</v>
      </c>
      <c r="G38" s="2" t="str">
        <f>IF(OR(E38&gt;=Нормативы!$B$4,D38&gt;=Нормативы!$B$5),"Высокая",IF(OR(E38&gt;=Нормативы!$B$6,D38&gt;=Нормативы!$B$7),"Средняя","Низкая"))</f>
        <v>Средняя</v>
      </c>
      <c r="H38" s="2" t="s">
        <v>78</v>
      </c>
      <c r="I38" s="2" t="s">
        <v>14</v>
      </c>
    </row>
    <row r="39" spans="1:9" ht="42.45">
      <c r="A39" s="3">
        <v>37</v>
      </c>
      <c r="B39" s="2" t="s">
        <v>40</v>
      </c>
      <c r="C39" s="4" t="s">
        <v>29</v>
      </c>
      <c r="D39" s="4">
        <v>2.8</v>
      </c>
      <c r="E39" s="5">
        <v>25.2</v>
      </c>
      <c r="F39" s="2" t="s">
        <v>30</v>
      </c>
      <c r="G39" s="2" t="str">
        <f>IF(OR(E39&gt;=Нормативы!$B$4,D39&gt;=Нормативы!$B$5),"Высокая",IF(OR(E39&gt;=Нормативы!$B$6,D39&gt;=Нормативы!$B$7),"Средняя","Низкая"))</f>
        <v>Средняя</v>
      </c>
      <c r="H39" s="2" t="s">
        <v>79</v>
      </c>
      <c r="I39" s="2" t="s">
        <v>14</v>
      </c>
    </row>
    <row r="40" spans="1:9" ht="42.45">
      <c r="A40" s="3">
        <v>38</v>
      </c>
      <c r="B40" s="2" t="s">
        <v>45</v>
      </c>
      <c r="C40" s="4" t="s">
        <v>33</v>
      </c>
      <c r="D40" s="4">
        <v>2.4300000000000002</v>
      </c>
      <c r="E40" s="5">
        <v>41.4</v>
      </c>
      <c r="F40" s="2" t="s">
        <v>34</v>
      </c>
      <c r="G40" s="2" t="str">
        <f>IF(OR(E40&gt;=Нормативы!$B$4,D40&gt;=Нормативы!$B$5),"Высокая",IF(OR(E40&gt;=Нормативы!$B$6,D40&gt;=Нормативы!$B$7),"Средняя","Низкая"))</f>
        <v>Средняя</v>
      </c>
      <c r="H40" s="2" t="s">
        <v>80</v>
      </c>
      <c r="I40" s="2" t="s">
        <v>14</v>
      </c>
    </row>
    <row r="41" spans="1:9" ht="42.45">
      <c r="A41" s="3">
        <v>39</v>
      </c>
      <c r="B41" s="2" t="s">
        <v>48</v>
      </c>
      <c r="C41" s="4" t="s">
        <v>37</v>
      </c>
      <c r="D41" s="4">
        <v>4.46</v>
      </c>
      <c r="E41" s="5">
        <v>46.7</v>
      </c>
      <c r="F41" s="2" t="s">
        <v>38</v>
      </c>
      <c r="G41" s="2" t="str">
        <f>IF(OR(E41&gt;=Нормативы!$B$4,D41&gt;=Нормативы!$B$5),"Высокая",IF(OR(E41&gt;=Нормативы!$B$6,D41&gt;=Нормативы!$B$7),"Средняя","Низкая"))</f>
        <v>Средняя</v>
      </c>
      <c r="H41" s="2" t="s">
        <v>81</v>
      </c>
      <c r="I41" s="2" t="s">
        <v>14</v>
      </c>
    </row>
    <row r="42" spans="1:9" ht="42.45">
      <c r="A42" s="3">
        <v>40</v>
      </c>
      <c r="B42" s="2" t="s">
        <v>28</v>
      </c>
      <c r="C42" s="4" t="s">
        <v>41</v>
      </c>
      <c r="D42" s="4">
        <v>5.79</v>
      </c>
      <c r="E42" s="5">
        <v>71.7</v>
      </c>
      <c r="F42" s="2" t="s">
        <v>30</v>
      </c>
      <c r="G42" s="2" t="str">
        <f>IF(OR(E42&gt;=Нормативы!$B$4,D42&gt;=Нормативы!$B$5),"Высокая",IF(OR(E42&gt;=Нормативы!$B$6,D42&gt;=Нормативы!$B$7),"Средняя","Низкая"))</f>
        <v>Высокая</v>
      </c>
      <c r="H42" s="2" t="s">
        <v>82</v>
      </c>
      <c r="I42" s="2" t="s">
        <v>14</v>
      </c>
    </row>
    <row r="43" spans="1:9" ht="42.45">
      <c r="A43" s="3">
        <v>41</v>
      </c>
      <c r="B43" s="2" t="s">
        <v>28</v>
      </c>
      <c r="C43" s="4" t="s">
        <v>43</v>
      </c>
      <c r="D43" s="4">
        <v>5.3</v>
      </c>
      <c r="E43" s="5">
        <v>64.8</v>
      </c>
      <c r="F43" s="2" t="s">
        <v>34</v>
      </c>
      <c r="G43" s="2" t="str">
        <f>IF(OR(E43&gt;=Нормативы!$B$4,D43&gt;=Нормативы!$B$5),"Высокая",IF(OR(E43&gt;=Нормативы!$B$6,D43&gt;=Нормативы!$B$7),"Средняя","Низкая"))</f>
        <v>Высокая</v>
      </c>
      <c r="H43" s="2" t="s">
        <v>83</v>
      </c>
      <c r="I43" s="2" t="s">
        <v>14</v>
      </c>
    </row>
    <row r="44" spans="1:9" ht="42.45">
      <c r="A44" s="3">
        <v>42</v>
      </c>
      <c r="B44" s="2" t="s">
        <v>32</v>
      </c>
      <c r="C44" s="4" t="s">
        <v>46</v>
      </c>
      <c r="D44" s="4">
        <v>5.14</v>
      </c>
      <c r="E44" s="5">
        <v>61</v>
      </c>
      <c r="F44" s="2" t="s">
        <v>38</v>
      </c>
      <c r="G44" s="2" t="str">
        <f>IF(OR(E44&gt;=Нормативы!$B$4,D44&gt;=Нормативы!$B$5),"Высокая",IF(OR(E44&gt;=Нормативы!$B$6,D44&gt;=Нормативы!$B$7),"Средняя","Низкая"))</f>
        <v>Высокая</v>
      </c>
      <c r="H44" s="2" t="s">
        <v>84</v>
      </c>
      <c r="I44" s="2" t="s">
        <v>14</v>
      </c>
    </row>
    <row r="45" spans="1:9" ht="42.45">
      <c r="A45" s="3">
        <v>43</v>
      </c>
      <c r="B45" s="2" t="s">
        <v>36</v>
      </c>
      <c r="C45" s="4" t="s">
        <v>29</v>
      </c>
      <c r="D45" s="4">
        <v>3</v>
      </c>
      <c r="E45" s="5">
        <v>34.9</v>
      </c>
      <c r="F45" s="2" t="s">
        <v>38</v>
      </c>
      <c r="G45" s="2" t="str">
        <f>IF(OR(E45&gt;=Нормативы!$B$4,D45&gt;=Нормативы!$B$5),"Высокая",IF(OR(E45&gt;=Нормативы!$B$6,D45&gt;=Нормативы!$B$7),"Средняя","Низкая"))</f>
        <v>Средняя</v>
      </c>
      <c r="H45" s="2" t="s">
        <v>85</v>
      </c>
      <c r="I45" s="2" t="s">
        <v>14</v>
      </c>
    </row>
    <row r="46" spans="1:9" ht="42.45">
      <c r="A46" s="3">
        <v>44</v>
      </c>
      <c r="B46" s="2" t="s">
        <v>40</v>
      </c>
      <c r="C46" s="4" t="s">
        <v>33</v>
      </c>
      <c r="D46" s="4">
        <v>3.43</v>
      </c>
      <c r="E46" s="5">
        <v>41.2</v>
      </c>
      <c r="F46" s="2" t="s">
        <v>30</v>
      </c>
      <c r="G46" s="2" t="str">
        <f>IF(OR(E46&gt;=Нормативы!$B$4,D46&gt;=Нормативы!$B$5),"Высокая",IF(OR(E46&gt;=Нормативы!$B$6,D46&gt;=Нормативы!$B$7),"Средняя","Низкая"))</f>
        <v>Средняя</v>
      </c>
      <c r="H46" s="2" t="s">
        <v>86</v>
      </c>
      <c r="I46" s="2" t="s">
        <v>14</v>
      </c>
    </row>
    <row r="47" spans="1:9" ht="42.45">
      <c r="A47" s="3">
        <v>45</v>
      </c>
      <c r="B47" s="2" t="s">
        <v>40</v>
      </c>
      <c r="C47" s="4" t="s">
        <v>37</v>
      </c>
      <c r="D47" s="4">
        <v>3.25</v>
      </c>
      <c r="E47" s="5">
        <v>51.6</v>
      </c>
      <c r="F47" s="2" t="s">
        <v>34</v>
      </c>
      <c r="G47" s="2" t="str">
        <f>IF(OR(E47&gt;=Нормативы!$B$4,D47&gt;=Нормативы!$B$5),"Высокая",IF(OR(E47&gt;=Нормативы!$B$6,D47&gt;=Нормативы!$B$7),"Средняя","Низкая"))</f>
        <v>Средняя</v>
      </c>
      <c r="H47" s="2" t="s">
        <v>87</v>
      </c>
      <c r="I47" s="2" t="s">
        <v>14</v>
      </c>
    </row>
    <row r="48" spans="1:9" ht="42.45">
      <c r="A48" s="3">
        <v>46</v>
      </c>
      <c r="B48" s="2" t="s">
        <v>45</v>
      </c>
      <c r="C48" s="4" t="s">
        <v>41</v>
      </c>
      <c r="D48" s="4">
        <v>4.4800000000000004</v>
      </c>
      <c r="E48" s="5">
        <v>62.3</v>
      </c>
      <c r="F48" s="2" t="s">
        <v>38</v>
      </c>
      <c r="G48" s="2" t="str">
        <f>IF(OR(E48&gt;=Нормативы!$B$4,D48&gt;=Нормативы!$B$5),"Высокая",IF(OR(E48&gt;=Нормативы!$B$6,D48&gt;=Нормативы!$B$7),"Средняя","Низкая"))</f>
        <v>Средняя</v>
      </c>
      <c r="H48" s="2" t="s">
        <v>88</v>
      </c>
      <c r="I48" s="2" t="s">
        <v>14</v>
      </c>
    </row>
    <row r="49" spans="1:9" ht="42.45">
      <c r="A49" s="3">
        <v>47</v>
      </c>
      <c r="B49" s="2" t="s">
        <v>48</v>
      </c>
      <c r="C49" s="4" t="s">
        <v>43</v>
      </c>
      <c r="D49" s="4">
        <v>3.93</v>
      </c>
      <c r="E49" s="5">
        <v>50.1</v>
      </c>
      <c r="F49" s="2" t="s">
        <v>30</v>
      </c>
      <c r="G49" s="2" t="str">
        <f>IF(OR(E49&gt;=Нормативы!$B$4,D49&gt;=Нормативы!$B$5),"Высокая",IF(OR(E49&gt;=Нормативы!$B$6,D49&gt;=Нормативы!$B$7),"Средняя","Низкая"))</f>
        <v>Средняя</v>
      </c>
      <c r="H49" s="2" t="s">
        <v>89</v>
      </c>
      <c r="I49" s="2" t="s">
        <v>14</v>
      </c>
    </row>
    <row r="50" spans="1:9" ht="42.45">
      <c r="A50" s="3">
        <v>48</v>
      </c>
      <c r="B50" s="2" t="s">
        <v>28</v>
      </c>
      <c r="C50" s="4" t="s">
        <v>46</v>
      </c>
      <c r="D50" s="4">
        <v>5.01</v>
      </c>
      <c r="E50" s="5">
        <v>61.2</v>
      </c>
      <c r="F50" s="2" t="s">
        <v>34</v>
      </c>
      <c r="G50" s="2" t="str">
        <f>IF(OR(E50&gt;=Нормативы!$B$4,D50&gt;=Нормативы!$B$5),"Высокая",IF(OR(E50&gt;=Нормативы!$B$6,D50&gt;=Нормативы!$B$7),"Средняя","Низкая"))</f>
        <v>Высокая</v>
      </c>
      <c r="H50" s="2" t="s">
        <v>90</v>
      </c>
      <c r="I50" s="2" t="s">
        <v>14</v>
      </c>
    </row>
    <row r="51" spans="1:9" ht="42.45">
      <c r="A51" s="3">
        <v>49</v>
      </c>
      <c r="B51" s="2" t="s">
        <v>28</v>
      </c>
      <c r="C51" s="4" t="s">
        <v>29</v>
      </c>
      <c r="D51" s="4">
        <v>2.2799999999999998</v>
      </c>
      <c r="E51" s="5">
        <v>33.1</v>
      </c>
      <c r="F51" s="2" t="s">
        <v>34</v>
      </c>
      <c r="G51" s="2" t="str">
        <f>IF(OR(E51&gt;=Нормативы!$B$4,D51&gt;=Нормативы!$B$5),"Высокая",IF(OR(E51&gt;=Нормативы!$B$6,D51&gt;=Нормативы!$B$7),"Средняя","Низкая"))</f>
        <v>Низкая</v>
      </c>
      <c r="H51" s="2" t="s">
        <v>91</v>
      </c>
      <c r="I51" s="2" t="s">
        <v>14</v>
      </c>
    </row>
    <row r="52" spans="1:9" ht="42.45">
      <c r="A52" s="3">
        <v>50</v>
      </c>
      <c r="B52" s="2" t="s">
        <v>32</v>
      </c>
      <c r="C52" s="4" t="s">
        <v>33</v>
      </c>
      <c r="D52" s="4">
        <v>2.76</v>
      </c>
      <c r="E52" s="5">
        <v>32.6</v>
      </c>
      <c r="F52" s="2" t="s">
        <v>38</v>
      </c>
      <c r="G52" s="2" t="str">
        <f>IF(OR(E52&gt;=Нормативы!$B$4,D52&gt;=Нормативы!$B$5),"Высокая",IF(OR(E52&gt;=Нормативы!$B$6,D52&gt;=Нормативы!$B$7),"Средняя","Низкая"))</f>
        <v>Средняя</v>
      </c>
      <c r="H52" s="2" t="s">
        <v>92</v>
      </c>
      <c r="I52" s="2" t="s">
        <v>14</v>
      </c>
    </row>
    <row r="53" spans="1:9" ht="42.45">
      <c r="A53" s="3">
        <v>51</v>
      </c>
      <c r="B53" s="2" t="s">
        <v>36</v>
      </c>
      <c r="C53" s="4" t="s">
        <v>37</v>
      </c>
      <c r="D53" s="4">
        <v>2.54</v>
      </c>
      <c r="E53" s="5">
        <v>38.200000000000003</v>
      </c>
      <c r="F53" s="2" t="s">
        <v>30</v>
      </c>
      <c r="G53" s="2" t="str">
        <f>IF(OR(E53&gt;=Нормативы!$B$4,D53&gt;=Нормативы!$B$5),"Высокая",IF(OR(E53&gt;=Нормативы!$B$6,D53&gt;=Нормативы!$B$7),"Средняя","Низкая"))</f>
        <v>Средняя</v>
      </c>
      <c r="H53" s="2" t="s">
        <v>93</v>
      </c>
      <c r="I53" s="2" t="s">
        <v>14</v>
      </c>
    </row>
    <row r="54" spans="1:9" ht="42.45">
      <c r="A54" s="3">
        <v>52</v>
      </c>
      <c r="B54" s="2" t="s">
        <v>40</v>
      </c>
      <c r="C54" s="4" t="s">
        <v>41</v>
      </c>
      <c r="D54" s="4">
        <v>5.2</v>
      </c>
      <c r="E54" s="5">
        <v>73.599999999999994</v>
      </c>
      <c r="F54" s="2" t="s">
        <v>34</v>
      </c>
      <c r="G54" s="2" t="str">
        <f>IF(OR(E54&gt;=Нормативы!$B$4,D54&gt;=Нормативы!$B$5),"Высокая",IF(OR(E54&gt;=Нормативы!$B$6,D54&gt;=Нормативы!$B$7),"Средняя","Низкая"))</f>
        <v>Высокая</v>
      </c>
      <c r="H54" s="2" t="s">
        <v>94</v>
      </c>
      <c r="I54" s="2" t="s">
        <v>14</v>
      </c>
    </row>
    <row r="55" spans="1:9" ht="42.45">
      <c r="A55" s="3">
        <v>53</v>
      </c>
      <c r="B55" s="2" t="s">
        <v>40</v>
      </c>
      <c r="C55" s="4" t="s">
        <v>43</v>
      </c>
      <c r="D55" s="4">
        <v>5.46</v>
      </c>
      <c r="E55" s="5">
        <v>76.2</v>
      </c>
      <c r="F55" s="2" t="s">
        <v>38</v>
      </c>
      <c r="G55" s="2" t="str">
        <f>IF(OR(E55&gt;=Нормативы!$B$4,D55&gt;=Нормативы!$B$5),"Высокая",IF(OR(E55&gt;=Нормативы!$B$6,D55&gt;=Нормативы!$B$7),"Средняя","Низкая"))</f>
        <v>Высокая</v>
      </c>
      <c r="H55" s="2" t="s">
        <v>95</v>
      </c>
      <c r="I55" s="2" t="s">
        <v>14</v>
      </c>
    </row>
    <row r="56" spans="1:9" ht="42.45">
      <c r="A56" s="3">
        <v>54</v>
      </c>
      <c r="B56" s="2" t="s">
        <v>45</v>
      </c>
      <c r="C56" s="4" t="s">
        <v>46</v>
      </c>
      <c r="D56" s="4">
        <v>4.3899999999999997</v>
      </c>
      <c r="E56" s="5">
        <v>62.8</v>
      </c>
      <c r="F56" s="2" t="s">
        <v>30</v>
      </c>
      <c r="G56" s="2" t="str">
        <f>IF(OR(E56&gt;=Нормативы!$B$4,D56&gt;=Нормативы!$B$5),"Высокая",IF(OR(E56&gt;=Нормативы!$B$6,D56&gt;=Нормативы!$B$7),"Средняя","Низкая"))</f>
        <v>Средняя</v>
      </c>
      <c r="H56" s="2" t="s">
        <v>96</v>
      </c>
      <c r="I56" s="2" t="s">
        <v>14</v>
      </c>
    </row>
    <row r="57" spans="1:9" ht="42.45">
      <c r="A57" s="3">
        <v>55</v>
      </c>
      <c r="B57" s="2" t="s">
        <v>48</v>
      </c>
      <c r="C57" s="4" t="s">
        <v>29</v>
      </c>
      <c r="D57" s="4">
        <v>2.7</v>
      </c>
      <c r="E57" s="5">
        <v>32.200000000000003</v>
      </c>
      <c r="F57" s="2" t="s">
        <v>30</v>
      </c>
      <c r="G57" s="2" t="str">
        <f>IF(OR(E57&gt;=Нормативы!$B$4,D57&gt;=Нормативы!$B$5),"Высокая",IF(OR(E57&gt;=Нормативы!$B$6,D57&gt;=Нормативы!$B$7),"Средняя","Низкая"))</f>
        <v>Средняя</v>
      </c>
      <c r="H57" s="2" t="s">
        <v>97</v>
      </c>
      <c r="I57" s="2" t="s">
        <v>14</v>
      </c>
    </row>
    <row r="58" spans="1:9" ht="42.45">
      <c r="A58" s="3">
        <v>56</v>
      </c>
      <c r="B58" s="2" t="s">
        <v>28</v>
      </c>
      <c r="C58" s="4" t="s">
        <v>33</v>
      </c>
      <c r="D58" s="4">
        <v>2.48</v>
      </c>
      <c r="E58" s="5">
        <v>37.1</v>
      </c>
      <c r="F58" s="2" t="s">
        <v>34</v>
      </c>
      <c r="G58" s="2" t="str">
        <f>IF(OR(E58&gt;=Нормативы!$B$4,D58&gt;=Нормативы!$B$5),"Высокая",IF(OR(E58&gt;=Нормативы!$B$6,D58&gt;=Нормативы!$B$7),"Средняя","Низкая"))</f>
        <v>Низкая</v>
      </c>
      <c r="H58" s="2" t="s">
        <v>98</v>
      </c>
      <c r="I58" s="2" t="s">
        <v>14</v>
      </c>
    </row>
    <row r="59" spans="1:9" ht="42.45">
      <c r="A59" s="3">
        <v>57</v>
      </c>
      <c r="B59" s="2" t="s">
        <v>28</v>
      </c>
      <c r="C59" s="4" t="s">
        <v>37</v>
      </c>
      <c r="D59" s="4">
        <v>2.2999999999999998</v>
      </c>
      <c r="E59" s="5">
        <v>38.4</v>
      </c>
      <c r="F59" s="2" t="s">
        <v>38</v>
      </c>
      <c r="G59" s="2" t="str">
        <f>IF(OR(E59&gt;=Нормативы!$B$4,D59&gt;=Нормативы!$B$5),"Высокая",IF(OR(E59&gt;=Нормативы!$B$6,D59&gt;=Нормативы!$B$7),"Средняя","Низкая"))</f>
        <v>Низкая</v>
      </c>
      <c r="H59" s="2" t="s">
        <v>99</v>
      </c>
      <c r="I59" s="2" t="s">
        <v>14</v>
      </c>
    </row>
    <row r="60" spans="1:9" ht="42.45">
      <c r="A60" s="3">
        <v>58</v>
      </c>
      <c r="B60" s="2" t="s">
        <v>32</v>
      </c>
      <c r="C60" s="4" t="s">
        <v>41</v>
      </c>
      <c r="D60" s="4">
        <v>5.41</v>
      </c>
      <c r="E60" s="5">
        <v>49.6</v>
      </c>
      <c r="F60" s="2" t="s">
        <v>30</v>
      </c>
      <c r="G60" s="2" t="str">
        <f>IF(OR(E60&gt;=Нормативы!$B$4,D60&gt;=Нормативы!$B$5),"Высокая",IF(OR(E60&gt;=Нормативы!$B$6,D60&gt;=Нормативы!$B$7),"Средняя","Низкая"))</f>
        <v>Высокая</v>
      </c>
      <c r="H60" s="2" t="s">
        <v>100</v>
      </c>
      <c r="I60" s="2" t="s">
        <v>14</v>
      </c>
    </row>
    <row r="61" spans="1:9" ht="42.45">
      <c r="A61" s="3">
        <v>59</v>
      </c>
      <c r="B61" s="2" t="s">
        <v>36</v>
      </c>
      <c r="C61" s="4" t="s">
        <v>43</v>
      </c>
      <c r="D61" s="4">
        <v>4.29</v>
      </c>
      <c r="E61" s="5">
        <v>55.9</v>
      </c>
      <c r="F61" s="2" t="s">
        <v>34</v>
      </c>
      <c r="G61" s="2" t="str">
        <f>IF(OR(E61&gt;=Нормативы!$B$4,D61&gt;=Нормативы!$B$5),"Высокая",IF(OR(E61&gt;=Нормативы!$B$6,D61&gt;=Нормативы!$B$7),"Средняя","Низкая"))</f>
        <v>Средняя</v>
      </c>
      <c r="H61" s="2" t="s">
        <v>101</v>
      </c>
      <c r="I61" s="2" t="s">
        <v>14</v>
      </c>
    </row>
    <row r="62" spans="1:9" ht="42.45">
      <c r="A62" s="3">
        <v>60</v>
      </c>
      <c r="B62" s="2" t="s">
        <v>40</v>
      </c>
      <c r="C62" s="4" t="s">
        <v>46</v>
      </c>
      <c r="D62" s="4">
        <v>5.5</v>
      </c>
      <c r="E62" s="5">
        <v>64</v>
      </c>
      <c r="F62" s="2" t="s">
        <v>38</v>
      </c>
      <c r="G62" s="2" t="str">
        <f>IF(OR(E62&gt;=Нормативы!$B$4,D62&gt;=Нормативы!$B$5),"Высокая",IF(OR(E62&gt;=Нормативы!$B$6,D62&gt;=Нормативы!$B$7),"Средняя","Низкая"))</f>
        <v>Высокая</v>
      </c>
      <c r="H62" s="2" t="s">
        <v>102</v>
      </c>
      <c r="I62" s="2" t="s">
        <v>14</v>
      </c>
    </row>
  </sheetData>
  <mergeCells count="1">
    <mergeCell ref="A1:I1"/>
  </mergeCells>
  <conditionalFormatting sqref="G3:G62">
    <cfRule type="expression" dxfId="5" priority="1">
      <formula>G3="Высокая"</formula>
    </cfRule>
    <cfRule type="expression" dxfId="4" priority="2">
      <formula>G3="Средняя"</formula>
    </cfRule>
    <cfRule type="expression" dxfId="3" priority="3">
      <formula>G3="Низкая"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4.15"/>
  <cols>
    <col min="1" max="1" width="20" customWidth="1"/>
    <col min="2" max="2" width="34" customWidth="1"/>
    <col min="3" max="5" width="20" customWidth="1"/>
    <col min="6" max="6" width="30" customWidth="1"/>
    <col min="7" max="7" width="46" customWidth="1"/>
  </cols>
  <sheetData>
    <row r="1" spans="1:7" ht="16" customHeight="1">
      <c r="A1" s="9" t="s">
        <v>103</v>
      </c>
      <c r="B1" s="9"/>
      <c r="C1" s="9"/>
      <c r="D1" s="9"/>
      <c r="E1" s="9"/>
      <c r="F1" s="9"/>
      <c r="G1" s="9"/>
    </row>
    <row r="3" spans="1:7" ht="28.3">
      <c r="A3" s="1" t="s">
        <v>104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</row>
    <row r="4" spans="1:7" ht="42.45">
      <c r="A4" s="2">
        <v>1</v>
      </c>
      <c r="B4" s="2" t="s">
        <v>111</v>
      </c>
      <c r="C4" s="2" t="s">
        <v>112</v>
      </c>
      <c r="D4" s="2" t="s">
        <v>113</v>
      </c>
      <c r="E4" s="2" t="s">
        <v>114</v>
      </c>
      <c r="F4" s="2" t="s">
        <v>115</v>
      </c>
      <c r="G4" s="2" t="s">
        <v>14</v>
      </c>
    </row>
    <row r="5" spans="1:7" ht="56.6">
      <c r="A5" s="2">
        <v>2</v>
      </c>
      <c r="B5" s="2" t="s">
        <v>116</v>
      </c>
      <c r="C5" s="2" t="s">
        <v>117</v>
      </c>
      <c r="D5" s="2" t="s">
        <v>118</v>
      </c>
      <c r="E5" s="2" t="s">
        <v>119</v>
      </c>
      <c r="F5" s="2" t="s">
        <v>120</v>
      </c>
      <c r="G5" s="2" t="s">
        <v>16</v>
      </c>
    </row>
    <row r="6" spans="1:7" ht="42.45">
      <c r="A6" s="2">
        <v>3</v>
      </c>
      <c r="B6" s="2" t="s">
        <v>121</v>
      </c>
      <c r="C6" s="2" t="s">
        <v>122</v>
      </c>
      <c r="D6" s="2" t="s">
        <v>123</v>
      </c>
      <c r="E6" s="2" t="s">
        <v>124</v>
      </c>
      <c r="F6" s="2" t="s">
        <v>125</v>
      </c>
      <c r="G6" s="2" t="s">
        <v>126</v>
      </c>
    </row>
    <row r="7" spans="1:7" ht="56.6">
      <c r="A7" s="2">
        <v>4</v>
      </c>
      <c r="B7" s="2" t="s">
        <v>127</v>
      </c>
      <c r="C7" s="2" t="s">
        <v>128</v>
      </c>
      <c r="D7" s="2" t="s">
        <v>123</v>
      </c>
      <c r="E7" s="2" t="s">
        <v>124</v>
      </c>
      <c r="F7" s="2" t="s">
        <v>129</v>
      </c>
      <c r="G7" s="2" t="s">
        <v>130</v>
      </c>
    </row>
    <row r="8" spans="1:7" ht="28.3">
      <c r="A8" s="2">
        <v>5</v>
      </c>
      <c r="B8" s="2" t="s">
        <v>131</v>
      </c>
      <c r="C8" s="2" t="s">
        <v>132</v>
      </c>
      <c r="D8" s="2" t="s">
        <v>133</v>
      </c>
      <c r="E8" s="2" t="s">
        <v>114</v>
      </c>
      <c r="F8" s="2" t="s">
        <v>134</v>
      </c>
      <c r="G8" s="2" t="s">
        <v>135</v>
      </c>
    </row>
    <row r="9" spans="1:7">
      <c r="A9" s="2"/>
      <c r="B9" s="2"/>
      <c r="C9" s="2"/>
      <c r="D9" s="2"/>
      <c r="E9" s="2"/>
      <c r="F9" s="2"/>
      <c r="G9" s="2"/>
    </row>
    <row r="10" spans="1:7">
      <c r="A10" s="8" t="s">
        <v>136</v>
      </c>
      <c r="B10" s="8"/>
      <c r="C10" s="8"/>
      <c r="D10" s="8"/>
      <c r="E10" s="8"/>
      <c r="F10" s="8"/>
      <c r="G10" s="8"/>
    </row>
    <row r="11" spans="1:7">
      <c r="A11" s="8"/>
      <c r="B11" s="8"/>
      <c r="C11" s="8"/>
      <c r="D11" s="8"/>
      <c r="E11" s="8"/>
      <c r="F11" s="8"/>
      <c r="G11" s="8"/>
    </row>
    <row r="12" spans="1:7">
      <c r="A12" s="8"/>
      <c r="B12" s="8"/>
      <c r="C12" s="8"/>
      <c r="D12" s="8"/>
      <c r="E12" s="8"/>
      <c r="F12" s="8"/>
      <c r="G12" s="8"/>
    </row>
  </sheetData>
  <mergeCells count="2">
    <mergeCell ref="A1:G1"/>
    <mergeCell ref="A10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defaultRowHeight="14.15"/>
  <cols>
    <col min="1" max="6" width="24" customWidth="1"/>
  </cols>
  <sheetData>
    <row r="1" spans="1:6" ht="16" customHeight="1">
      <c r="A1" s="6" t="s">
        <v>137</v>
      </c>
      <c r="B1" s="6"/>
      <c r="C1" s="6"/>
      <c r="D1" s="6"/>
      <c r="E1" s="6"/>
      <c r="F1" s="6"/>
    </row>
    <row r="2" spans="1:6">
      <c r="A2" s="2"/>
      <c r="B2" s="2"/>
      <c r="C2" s="2"/>
      <c r="D2" s="2"/>
      <c r="E2" s="2"/>
      <c r="F2" s="2"/>
    </row>
    <row r="3" spans="1:6">
      <c r="A3" s="1" t="s">
        <v>105</v>
      </c>
      <c r="B3" s="1" t="s">
        <v>138</v>
      </c>
      <c r="C3" s="1" t="s">
        <v>139</v>
      </c>
      <c r="D3" s="1" t="s">
        <v>108</v>
      </c>
      <c r="E3" s="1" t="s">
        <v>140</v>
      </c>
      <c r="F3" s="1" t="s">
        <v>141</v>
      </c>
    </row>
    <row r="4" spans="1:6">
      <c r="A4" s="2" t="s">
        <v>142</v>
      </c>
      <c r="B4" s="2" t="s">
        <v>113</v>
      </c>
      <c r="C4" s="2">
        <v>60</v>
      </c>
      <c r="D4" s="2" t="s">
        <v>114</v>
      </c>
      <c r="E4" s="2" t="s">
        <v>143</v>
      </c>
      <c r="F4" s="2" t="s">
        <v>144</v>
      </c>
    </row>
    <row r="5" spans="1:6">
      <c r="A5" s="2" t="s">
        <v>145</v>
      </c>
      <c r="B5" s="2" t="s">
        <v>118</v>
      </c>
      <c r="C5" s="2">
        <v>0</v>
      </c>
      <c r="D5" s="2" t="s">
        <v>119</v>
      </c>
      <c r="E5" s="2" t="s">
        <v>146</v>
      </c>
      <c r="F5" s="2" t="s">
        <v>147</v>
      </c>
    </row>
    <row r="6" spans="1:6">
      <c r="A6" s="2" t="s">
        <v>148</v>
      </c>
      <c r="B6" s="2" t="s">
        <v>149</v>
      </c>
      <c r="C6" s="2">
        <v>0</v>
      </c>
      <c r="D6" s="2" t="s">
        <v>124</v>
      </c>
      <c r="E6" s="2" t="s">
        <v>150</v>
      </c>
      <c r="F6" s="2" t="s">
        <v>151</v>
      </c>
    </row>
    <row r="7" spans="1:6">
      <c r="A7" s="2" t="s">
        <v>127</v>
      </c>
      <c r="B7" s="2" t="s">
        <v>149</v>
      </c>
      <c r="C7" s="2">
        <v>0</v>
      </c>
      <c r="D7" s="2" t="s">
        <v>124</v>
      </c>
      <c r="E7" s="2" t="s">
        <v>150</v>
      </c>
      <c r="F7" s="2" t="s">
        <v>151</v>
      </c>
    </row>
    <row r="8" spans="1:6">
      <c r="A8" s="2" t="s">
        <v>131</v>
      </c>
      <c r="B8" s="2" t="s">
        <v>152</v>
      </c>
      <c r="C8" s="2">
        <v>0</v>
      </c>
      <c r="D8" s="2" t="s">
        <v>114</v>
      </c>
      <c r="E8" s="2" t="s">
        <v>150</v>
      </c>
      <c r="F8" s="2" t="s">
        <v>153</v>
      </c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1" t="s">
        <v>1</v>
      </c>
      <c r="B11" s="1" t="s">
        <v>154</v>
      </c>
      <c r="C11" s="2"/>
      <c r="D11" s="2"/>
      <c r="E11" s="2"/>
      <c r="F11" s="2"/>
    </row>
    <row r="12" spans="1:6" ht="28.3">
      <c r="A12" s="2" t="s">
        <v>155</v>
      </c>
      <c r="B12" s="2">
        <f>SUM(C4:C8)</f>
        <v>60</v>
      </c>
      <c r="C12" s="2"/>
      <c r="D12" s="2"/>
      <c r="E12" s="2"/>
      <c r="F12" s="2"/>
    </row>
    <row r="13" spans="1:6" ht="28.3">
      <c r="A13" s="2" t="s">
        <v>156</v>
      </c>
      <c r="B13" s="2">
        <f>AVERAGE(C4:C8)</f>
        <v>12</v>
      </c>
      <c r="C13" s="2"/>
      <c r="D13" s="2"/>
      <c r="E13" s="2"/>
      <c r="F13" s="2"/>
    </row>
    <row r="14" spans="1:6">
      <c r="A14" s="2" t="s">
        <v>157</v>
      </c>
      <c r="B14" s="2">
        <f>MAX(C4:C8)</f>
        <v>60</v>
      </c>
      <c r="C14" s="2"/>
      <c r="D14" s="2"/>
      <c r="E14" s="2"/>
      <c r="F14" s="2"/>
    </row>
    <row r="15" spans="1:6">
      <c r="A15" s="2" t="s">
        <v>158</v>
      </c>
      <c r="B15" s="2">
        <f>MIN(C4:C8)</f>
        <v>0</v>
      </c>
      <c r="C15" s="2"/>
      <c r="D15" s="2"/>
      <c r="E15" s="2"/>
      <c r="F15" s="2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15"/>
  <cols>
    <col min="1" max="5" width="25" customWidth="1"/>
  </cols>
  <sheetData>
    <row r="1" spans="1:5" ht="16" customHeight="1">
      <c r="A1" s="6" t="s">
        <v>159</v>
      </c>
      <c r="B1" s="6"/>
      <c r="C1" s="6"/>
      <c r="D1" s="6"/>
      <c r="E1" s="6"/>
    </row>
    <row r="2" spans="1:5">
      <c r="A2" s="2"/>
      <c r="B2" s="2"/>
      <c r="C2" s="2"/>
      <c r="D2" s="2"/>
      <c r="E2" s="2"/>
    </row>
    <row r="3" spans="1:5">
      <c r="A3" s="1" t="s">
        <v>160</v>
      </c>
      <c r="B3" s="1" t="s">
        <v>161</v>
      </c>
      <c r="C3" s="1" t="s">
        <v>162</v>
      </c>
      <c r="D3" s="1" t="s">
        <v>163</v>
      </c>
      <c r="E3" s="1" t="s">
        <v>164</v>
      </c>
    </row>
    <row r="4" spans="1:5" ht="42.45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169</v>
      </c>
    </row>
    <row r="5" spans="1:5" ht="42.45">
      <c r="A5" s="2" t="s">
        <v>170</v>
      </c>
      <c r="B5" s="2" t="s">
        <v>171</v>
      </c>
      <c r="C5" s="2" t="s">
        <v>172</v>
      </c>
      <c r="D5" s="2" t="s">
        <v>173</v>
      </c>
      <c r="E5" s="2" t="s">
        <v>174</v>
      </c>
    </row>
    <row r="6" spans="1:5" ht="42.45">
      <c r="A6" s="2" t="s">
        <v>175</v>
      </c>
      <c r="B6" s="2" t="s">
        <v>176</v>
      </c>
      <c r="C6" s="2" t="s">
        <v>177</v>
      </c>
      <c r="D6" s="2" t="s">
        <v>178</v>
      </c>
      <c r="E6" s="2" t="s">
        <v>179</v>
      </c>
    </row>
    <row r="7" spans="1:5">
      <c r="A7" s="2"/>
      <c r="B7" s="2"/>
      <c r="C7" s="2"/>
      <c r="D7" s="2"/>
      <c r="E7" s="2"/>
    </row>
    <row r="8" spans="1:5">
      <c r="A8" s="8" t="s">
        <v>180</v>
      </c>
      <c r="B8" s="8"/>
      <c r="C8" s="8"/>
      <c r="D8" s="8"/>
      <c r="E8" s="8"/>
    </row>
    <row r="9" spans="1:5">
      <c r="A9" s="8"/>
      <c r="B9" s="8"/>
      <c r="C9" s="8"/>
      <c r="D9" s="8"/>
      <c r="E9" s="8"/>
    </row>
    <row r="10" spans="1:5">
      <c r="A10" s="8"/>
      <c r="B10" s="8"/>
      <c r="C10" s="8"/>
      <c r="D10" s="8"/>
      <c r="E10" s="8"/>
    </row>
  </sheetData>
  <mergeCells count="2">
    <mergeCell ref="A1:E1"/>
    <mergeCell ref="A8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"/>
  <sheetViews>
    <sheetView workbookViewId="0"/>
  </sheetViews>
  <sheetFormatPr defaultRowHeight="14.15"/>
  <cols>
    <col min="1" max="1" width="8" customWidth="1"/>
    <col min="2" max="2" width="17" customWidth="1"/>
    <col min="3" max="5" width="16" customWidth="1"/>
    <col min="6" max="6" width="24" customWidth="1"/>
    <col min="7" max="7" width="20" customWidth="1"/>
    <col min="8" max="8" width="30" customWidth="1"/>
    <col min="9" max="9" width="15" customWidth="1"/>
    <col min="11" max="12" width="24" customWidth="1"/>
  </cols>
  <sheetData>
    <row r="1" spans="1:12" ht="16" customHeight="1">
      <c r="A1" s="6" t="s">
        <v>181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</row>
    <row r="2" spans="1:12" ht="42.45">
      <c r="A2" s="1" t="s">
        <v>19</v>
      </c>
      <c r="B2" s="1" t="s">
        <v>20</v>
      </c>
      <c r="C2" s="1" t="s">
        <v>21</v>
      </c>
      <c r="D2" s="1" t="s">
        <v>182</v>
      </c>
      <c r="E2" s="1" t="s">
        <v>23</v>
      </c>
      <c r="F2" s="1" t="s">
        <v>183</v>
      </c>
      <c r="G2" s="1" t="s">
        <v>25</v>
      </c>
      <c r="H2" s="1" t="s">
        <v>26</v>
      </c>
      <c r="I2" s="1" t="s">
        <v>184</v>
      </c>
      <c r="J2" s="2"/>
      <c r="K2" s="1" t="s">
        <v>185</v>
      </c>
      <c r="L2" s="1" t="s">
        <v>186</v>
      </c>
    </row>
    <row r="3" spans="1:12" ht="28.3">
      <c r="A3" s="2">
        <f>'Исходные данные'!A3</f>
        <v>1</v>
      </c>
      <c r="B3" s="2" t="str">
        <f>'Исходные данные'!B3</f>
        <v>Центральный</v>
      </c>
      <c r="C3" s="4" t="str">
        <f>'Исходные данные'!C3</f>
        <v>Стальной балочный</v>
      </c>
      <c r="D3" s="4">
        <f>'Исходные данные'!D3</f>
        <v>4.79</v>
      </c>
      <c r="E3" s="5">
        <f>'Исходные данные'!E3</f>
        <v>44</v>
      </c>
      <c r="F3" s="2" t="str">
        <f>'Исходные данные'!F3</f>
        <v>City Bridge Service</v>
      </c>
      <c r="G3" s="2" t="str">
        <f>'Исходные данные'!G3</f>
        <v>Средняя</v>
      </c>
      <c r="H3" s="2" t="str">
        <f>'Исходные данные'!H3</f>
        <v>SHM-001</v>
      </c>
      <c r="I3" s="2" t="str">
        <f t="shared" ref="I3:I34" si="0">IF(OR(D3="",E3=""),"Пропуск","OK")</f>
        <v>OK</v>
      </c>
      <c r="J3" s="2"/>
      <c r="K3" s="2" t="s">
        <v>187</v>
      </c>
      <c r="L3" s="2">
        <f>COUNT(A3:A62)</f>
        <v>60</v>
      </c>
    </row>
    <row r="4" spans="1:12" ht="28.3">
      <c r="A4" s="2">
        <f>'Исходные данные'!A4</f>
        <v>2</v>
      </c>
      <c r="B4" s="2" t="str">
        <f>'Исходные данные'!B4</f>
        <v>Промышленный</v>
      </c>
      <c r="C4" s="4" t="str">
        <f>'Исходные данные'!C4</f>
        <v>Железобетонный балочный</v>
      </c>
      <c r="D4" s="4">
        <f>'Исходные данные'!D4</f>
        <v>3.52</v>
      </c>
      <c r="E4" s="5">
        <f>'Исходные данные'!E4</f>
        <v>39.700000000000003</v>
      </c>
      <c r="F4" s="2" t="str">
        <f>'Исходные данные'!F4</f>
        <v>Urban Structures Unit</v>
      </c>
      <c r="G4" s="2" t="str">
        <f>'Исходные данные'!G4</f>
        <v>Средняя</v>
      </c>
      <c r="H4" s="2" t="str">
        <f>'Исходные данные'!H4</f>
        <v>SHM-002</v>
      </c>
      <c r="I4" s="2" t="str">
        <f t="shared" si="0"/>
        <v>OK</v>
      </c>
      <c r="J4" s="2"/>
      <c r="K4" s="2" t="s">
        <v>188</v>
      </c>
      <c r="L4" s="2">
        <f>COUNTIF(I3:I62,"Пропуск")</f>
        <v>0</v>
      </c>
    </row>
    <row r="5" spans="1:12" ht="28.3">
      <c r="A5" s="2">
        <f>'Исходные данные'!A5</f>
        <v>3</v>
      </c>
      <c r="B5" s="2" t="str">
        <f>'Исходные данные'!B5</f>
        <v>Западный</v>
      </c>
      <c r="C5" s="4" t="str">
        <f>'Исходные данные'!C5</f>
        <v>Коробчатый железобетонный</v>
      </c>
      <c r="D5" s="4">
        <f>'Исходные данные'!D5</f>
        <v>3.23</v>
      </c>
      <c r="E5" s="5">
        <f>'Исходные данные'!E5</f>
        <v>43.8</v>
      </c>
      <c r="F5" s="2" t="str">
        <f>'Исходные данные'!F5</f>
        <v>InfraRoad Maintenance</v>
      </c>
      <c r="G5" s="2" t="str">
        <f>'Исходные данные'!G5</f>
        <v>Средняя</v>
      </c>
      <c r="H5" s="2" t="str">
        <f>'Исходные данные'!H5</f>
        <v>SHM-003</v>
      </c>
      <c r="I5" s="2" t="str">
        <f t="shared" si="0"/>
        <v>OK</v>
      </c>
      <c r="J5" s="2"/>
      <c r="K5" s="2" t="s">
        <v>189</v>
      </c>
      <c r="L5" s="2">
        <v>0</v>
      </c>
    </row>
    <row r="6" spans="1:12" ht="28.3">
      <c r="A6" s="2">
        <f>'Исходные данные'!A6</f>
        <v>4</v>
      </c>
      <c r="B6" s="2" t="str">
        <f>'Исходные данные'!B6</f>
        <v>Восточный</v>
      </c>
      <c r="C6" s="4" t="str">
        <f>'Исходные данные'!C6</f>
        <v>Арочный стальной</v>
      </c>
      <c r="D6" s="4">
        <f>'Исходные данные'!D6</f>
        <v>4.1399999999999997</v>
      </c>
      <c r="E6" s="5">
        <f>'Исходные данные'!E6</f>
        <v>50.9</v>
      </c>
      <c r="F6" s="2" t="str">
        <f>'Исходные данные'!F6</f>
        <v>City Bridge Service</v>
      </c>
      <c r="G6" s="2" t="str">
        <f>'Исходные данные'!G6</f>
        <v>Средняя</v>
      </c>
      <c r="H6" s="2" t="str">
        <f>'Исходные данные'!H6</f>
        <v>SHM-004</v>
      </c>
      <c r="I6" s="2" t="str">
        <f t="shared" si="0"/>
        <v>OK</v>
      </c>
      <c r="J6" s="2"/>
      <c r="K6" s="2" t="s">
        <v>190</v>
      </c>
      <c r="L6" s="2">
        <f>MAX(D3:D62)</f>
        <v>6.24</v>
      </c>
    </row>
    <row r="7" spans="1:12">
      <c r="A7" s="2">
        <f>'Исходные данные'!A7</f>
        <v>5</v>
      </c>
      <c r="B7" s="2" t="str">
        <f>'Исходные данные'!B7</f>
        <v>Восточный</v>
      </c>
      <c r="C7" s="4" t="str">
        <f>'Исходные данные'!C7</f>
        <v>Вантовый</v>
      </c>
      <c r="D7" s="4">
        <f>'Исходные данные'!D7</f>
        <v>6.24</v>
      </c>
      <c r="E7" s="5">
        <f>'Исходные данные'!E7</f>
        <v>69.400000000000006</v>
      </c>
      <c r="F7" s="2" t="str">
        <f>'Исходные данные'!F7</f>
        <v>Urban Structures Unit</v>
      </c>
      <c r="G7" s="2" t="str">
        <f>'Исходные данные'!G7</f>
        <v>Высокая</v>
      </c>
      <c r="H7" s="2" t="str">
        <f>'Исходные данные'!H7</f>
        <v>SHM-005</v>
      </c>
      <c r="I7" s="2" t="str">
        <f t="shared" si="0"/>
        <v>OK</v>
      </c>
      <c r="J7" s="2"/>
      <c r="K7" s="2" t="s">
        <v>191</v>
      </c>
      <c r="L7" s="2">
        <f>MAX(E3:E62)</f>
        <v>77.7</v>
      </c>
    </row>
    <row r="8" spans="1:12" ht="28.3">
      <c r="A8" s="2">
        <f>'Исходные данные'!A8</f>
        <v>6</v>
      </c>
      <c r="B8" s="2" t="str">
        <f>'Исходные данные'!B8</f>
        <v>Южный</v>
      </c>
      <c r="C8" s="4" t="str">
        <f>'Исходные данные'!C8</f>
        <v>Рамный путепровод</v>
      </c>
      <c r="D8" s="4">
        <f>'Исходные данные'!D8</f>
        <v>4.62</v>
      </c>
      <c r="E8" s="5">
        <f>'Исходные данные'!E8</f>
        <v>69</v>
      </c>
      <c r="F8" s="2" t="str">
        <f>'Исходные данные'!F8</f>
        <v>InfraRoad Maintenance</v>
      </c>
      <c r="G8" s="2" t="str">
        <f>'Исходные данные'!G8</f>
        <v>Средняя</v>
      </c>
      <c r="H8" s="2" t="str">
        <f>'Исходные данные'!H8</f>
        <v>SHM-006</v>
      </c>
      <c r="I8" s="2" t="str">
        <f t="shared" si="0"/>
        <v>OK</v>
      </c>
      <c r="J8" s="2"/>
      <c r="K8" s="2"/>
      <c r="L8" s="2"/>
    </row>
    <row r="9" spans="1:12" ht="28.3">
      <c r="A9" s="2">
        <f>'Исходные данные'!A9</f>
        <v>7</v>
      </c>
      <c r="B9" s="2" t="str">
        <f>'Исходные данные'!B9</f>
        <v>Северный</v>
      </c>
      <c r="C9" s="4" t="str">
        <f>'Исходные данные'!C9</f>
        <v>Стальной балочный</v>
      </c>
      <c r="D9" s="4">
        <f>'Исходные данные'!D9</f>
        <v>3.24</v>
      </c>
      <c r="E9" s="5">
        <f>'Исходные данные'!E9</f>
        <v>38.799999999999997</v>
      </c>
      <c r="F9" s="2" t="str">
        <f>'Исходные данные'!F9</f>
        <v>InfraRoad Maintenance</v>
      </c>
      <c r="G9" s="2" t="str">
        <f>'Исходные данные'!G9</f>
        <v>Средняя</v>
      </c>
      <c r="H9" s="2" t="str">
        <f>'Исходные данные'!H9</f>
        <v>SHM-007</v>
      </c>
      <c r="I9" s="2" t="str">
        <f t="shared" si="0"/>
        <v>OK</v>
      </c>
      <c r="J9" s="2"/>
      <c r="K9" s="2"/>
      <c r="L9" s="2"/>
    </row>
    <row r="10" spans="1:12" ht="28.3">
      <c r="A10" s="2">
        <f>'Исходные данные'!A10</f>
        <v>8</v>
      </c>
      <c r="B10" s="2" t="str">
        <f>'Исходные данные'!B10</f>
        <v>Центральный</v>
      </c>
      <c r="C10" s="4" t="str">
        <f>'Исходные данные'!C10</f>
        <v>Железобетонный балочный</v>
      </c>
      <c r="D10" s="4">
        <f>'Исходные данные'!D10</f>
        <v>2.65</v>
      </c>
      <c r="E10" s="5">
        <f>'Исходные данные'!E10</f>
        <v>35.299999999999997</v>
      </c>
      <c r="F10" s="2" t="str">
        <f>'Исходные данные'!F10</f>
        <v>City Bridge Service</v>
      </c>
      <c r="G10" s="2" t="str">
        <f>'Исходные данные'!G10</f>
        <v>Средняя</v>
      </c>
      <c r="H10" s="2" t="str">
        <f>'Исходные данные'!H10</f>
        <v>SHM-008</v>
      </c>
      <c r="I10" s="2" t="str">
        <f t="shared" si="0"/>
        <v>OK</v>
      </c>
      <c r="J10" s="2"/>
      <c r="K10" s="2"/>
      <c r="L10" s="2"/>
    </row>
    <row r="11" spans="1:12" ht="28.3">
      <c r="A11" s="2">
        <f>'Исходные данные'!A11</f>
        <v>9</v>
      </c>
      <c r="B11" s="2" t="str">
        <f>'Исходные данные'!B11</f>
        <v>Центральный</v>
      </c>
      <c r="C11" s="4" t="str">
        <f>'Исходные данные'!C11</f>
        <v>Коробчатый железобетонный</v>
      </c>
      <c r="D11" s="4">
        <f>'Исходные данные'!D11</f>
        <v>4.1900000000000004</v>
      </c>
      <c r="E11" s="5">
        <f>'Исходные данные'!E11</f>
        <v>48.3</v>
      </c>
      <c r="F11" s="2" t="str">
        <f>'Исходные данные'!F11</f>
        <v>Urban Structures Unit</v>
      </c>
      <c r="G11" s="2" t="str">
        <f>'Исходные данные'!G11</f>
        <v>Средняя</v>
      </c>
      <c r="H11" s="2" t="str">
        <f>'Исходные данные'!H11</f>
        <v>SHM-009</v>
      </c>
      <c r="I11" s="2" t="str">
        <f t="shared" si="0"/>
        <v>OK</v>
      </c>
      <c r="J11" s="2"/>
      <c r="K11" s="2"/>
      <c r="L11" s="2"/>
    </row>
    <row r="12" spans="1:12" ht="28.3">
      <c r="A12" s="2">
        <f>'Исходные данные'!A12</f>
        <v>10</v>
      </c>
      <c r="B12" s="2" t="str">
        <f>'Исходные данные'!B12</f>
        <v>Промышленный</v>
      </c>
      <c r="C12" s="4" t="str">
        <f>'Исходные данные'!C12</f>
        <v>Арочный стальной</v>
      </c>
      <c r="D12" s="4">
        <f>'Исходные данные'!D12</f>
        <v>3.74</v>
      </c>
      <c r="E12" s="5">
        <f>'Исходные данные'!E12</f>
        <v>49.9</v>
      </c>
      <c r="F12" s="2" t="str">
        <f>'Исходные данные'!F12</f>
        <v>InfraRoad Maintenance</v>
      </c>
      <c r="G12" s="2" t="str">
        <f>'Исходные данные'!G12</f>
        <v>Средняя</v>
      </c>
      <c r="H12" s="2" t="str">
        <f>'Исходные данные'!H12</f>
        <v>SHM-010</v>
      </c>
      <c r="I12" s="2" t="str">
        <f t="shared" si="0"/>
        <v>OK</v>
      </c>
      <c r="J12" s="2"/>
      <c r="K12" s="2"/>
      <c r="L12" s="2"/>
    </row>
    <row r="13" spans="1:12">
      <c r="A13" s="2">
        <f>'Исходные данные'!A13</f>
        <v>11</v>
      </c>
      <c r="B13" s="2" t="str">
        <f>'Исходные данные'!B13</f>
        <v>Западный</v>
      </c>
      <c r="C13" s="4" t="str">
        <f>'Исходные данные'!C13</f>
        <v>Вантовый</v>
      </c>
      <c r="D13" s="4">
        <f>'Исходные данные'!D13</f>
        <v>5.0599999999999996</v>
      </c>
      <c r="E13" s="5">
        <f>'Исходные данные'!E13</f>
        <v>64.5</v>
      </c>
      <c r="F13" s="2" t="str">
        <f>'Исходные данные'!F13</f>
        <v>City Bridge Service</v>
      </c>
      <c r="G13" s="2" t="str">
        <f>'Исходные данные'!G13</f>
        <v>Высокая</v>
      </c>
      <c r="H13" s="2" t="str">
        <f>'Исходные данные'!H13</f>
        <v>SHM-011</v>
      </c>
      <c r="I13" s="2" t="str">
        <f t="shared" si="0"/>
        <v>OK</v>
      </c>
      <c r="J13" s="2"/>
      <c r="K13" s="2"/>
      <c r="L13" s="2"/>
    </row>
    <row r="14" spans="1:12" ht="28.3">
      <c r="A14" s="2">
        <f>'Исходные данные'!A14</f>
        <v>12</v>
      </c>
      <c r="B14" s="2" t="str">
        <f>'Исходные данные'!B14</f>
        <v>Восточный</v>
      </c>
      <c r="C14" s="4" t="str">
        <f>'Исходные данные'!C14</f>
        <v>Рамный путепровод</v>
      </c>
      <c r="D14" s="4">
        <f>'Исходные данные'!D14</f>
        <v>4.76</v>
      </c>
      <c r="E14" s="5">
        <f>'Исходные данные'!E14</f>
        <v>63</v>
      </c>
      <c r="F14" s="2" t="str">
        <f>'Исходные данные'!F14</f>
        <v>Urban Structures Unit</v>
      </c>
      <c r="G14" s="2" t="str">
        <f>'Исходные данные'!G14</f>
        <v>Средняя</v>
      </c>
      <c r="H14" s="2" t="str">
        <f>'Исходные данные'!H14</f>
        <v>SHM-012</v>
      </c>
      <c r="I14" s="2" t="str">
        <f t="shared" si="0"/>
        <v>OK</v>
      </c>
      <c r="J14" s="2"/>
      <c r="K14" s="2"/>
      <c r="L14" s="2"/>
    </row>
    <row r="15" spans="1:12" ht="28.3">
      <c r="A15" s="2">
        <f>'Исходные данные'!A15</f>
        <v>13</v>
      </c>
      <c r="B15" s="2" t="str">
        <f>'Исходные данные'!B15</f>
        <v>Восточный</v>
      </c>
      <c r="C15" s="4" t="str">
        <f>'Исходные данные'!C15</f>
        <v>Стальной балочный</v>
      </c>
      <c r="D15" s="4">
        <f>'Исходные данные'!D15</f>
        <v>3.02</v>
      </c>
      <c r="E15" s="5">
        <f>'Исходные данные'!E15</f>
        <v>39.200000000000003</v>
      </c>
      <c r="F15" s="2" t="str">
        <f>'Исходные данные'!F15</f>
        <v>Urban Structures Unit</v>
      </c>
      <c r="G15" s="2" t="str">
        <f>'Исходные данные'!G15</f>
        <v>Средняя</v>
      </c>
      <c r="H15" s="2" t="str">
        <f>'Исходные данные'!H15</f>
        <v>SHM-013</v>
      </c>
      <c r="I15" s="2" t="str">
        <f t="shared" si="0"/>
        <v>OK</v>
      </c>
      <c r="J15" s="2"/>
      <c r="K15" s="2"/>
      <c r="L15" s="2"/>
    </row>
    <row r="16" spans="1:12" ht="28.3">
      <c r="A16" s="2">
        <f>'Исходные данные'!A16</f>
        <v>14</v>
      </c>
      <c r="B16" s="2" t="str">
        <f>'Исходные данные'!B16</f>
        <v>Южный</v>
      </c>
      <c r="C16" s="4" t="str">
        <f>'Исходные данные'!C16</f>
        <v>Железобетонный балочный</v>
      </c>
      <c r="D16" s="4">
        <f>'Исходные данные'!D16</f>
        <v>2.61</v>
      </c>
      <c r="E16" s="5">
        <f>'Исходные данные'!E16</f>
        <v>41.4</v>
      </c>
      <c r="F16" s="2" t="str">
        <f>'Исходные данные'!F16</f>
        <v>InfraRoad Maintenance</v>
      </c>
      <c r="G16" s="2" t="str">
        <f>'Исходные данные'!G16</f>
        <v>Средняя</v>
      </c>
      <c r="H16" s="2" t="str">
        <f>'Исходные данные'!H16</f>
        <v>SHM-014</v>
      </c>
      <c r="I16" s="2" t="str">
        <f t="shared" si="0"/>
        <v>OK</v>
      </c>
      <c r="J16" s="2"/>
      <c r="K16" s="2"/>
      <c r="L16" s="2"/>
    </row>
    <row r="17" spans="1:12" ht="28.3">
      <c r="A17" s="2">
        <f>'Исходные данные'!A17</f>
        <v>15</v>
      </c>
      <c r="B17" s="2" t="str">
        <f>'Исходные данные'!B17</f>
        <v>Северный</v>
      </c>
      <c r="C17" s="4" t="str">
        <f>'Исходные данные'!C17</f>
        <v>Коробчатый железобетонный</v>
      </c>
      <c r="D17" s="4">
        <f>'Исходные данные'!D17</f>
        <v>3.14</v>
      </c>
      <c r="E17" s="5">
        <f>'Исходные данные'!E17</f>
        <v>32.9</v>
      </c>
      <c r="F17" s="2" t="str">
        <f>'Исходные данные'!F17</f>
        <v>City Bridge Service</v>
      </c>
      <c r="G17" s="2" t="str">
        <f>'Исходные данные'!G17</f>
        <v>Средняя</v>
      </c>
      <c r="H17" s="2" t="str">
        <f>'Исходные данные'!H17</f>
        <v>SHM-015</v>
      </c>
      <c r="I17" s="2" t="str">
        <f t="shared" si="0"/>
        <v>OK</v>
      </c>
      <c r="J17" s="2"/>
      <c r="K17" s="2"/>
      <c r="L17" s="2"/>
    </row>
    <row r="18" spans="1:12" ht="28.3">
      <c r="A18" s="2">
        <f>'Исходные данные'!A18</f>
        <v>16</v>
      </c>
      <c r="B18" s="2" t="str">
        <f>'Исходные данные'!B18</f>
        <v>Центральный</v>
      </c>
      <c r="C18" s="4" t="str">
        <f>'Исходные данные'!C18</f>
        <v>Арочный стальной</v>
      </c>
      <c r="D18" s="4">
        <f>'Исходные данные'!D18</f>
        <v>4.4000000000000004</v>
      </c>
      <c r="E18" s="5">
        <f>'Исходные данные'!E18</f>
        <v>60.2</v>
      </c>
      <c r="F18" s="2" t="str">
        <f>'Исходные данные'!F18</f>
        <v>Urban Structures Unit</v>
      </c>
      <c r="G18" s="2" t="str">
        <f>'Исходные данные'!G18</f>
        <v>Средняя</v>
      </c>
      <c r="H18" s="2" t="str">
        <f>'Исходные данные'!H18</f>
        <v>SHM-016</v>
      </c>
      <c r="I18" s="2" t="str">
        <f t="shared" si="0"/>
        <v>OK</v>
      </c>
      <c r="J18" s="2"/>
      <c r="K18" s="2"/>
      <c r="L18" s="2"/>
    </row>
    <row r="19" spans="1:12">
      <c r="A19" s="2">
        <f>'Исходные данные'!A19</f>
        <v>17</v>
      </c>
      <c r="B19" s="2" t="str">
        <f>'Исходные данные'!B19</f>
        <v>Центральный</v>
      </c>
      <c r="C19" s="4" t="str">
        <f>'Исходные данные'!C19</f>
        <v>Вантовый</v>
      </c>
      <c r="D19" s="4">
        <f>'Исходные данные'!D19</f>
        <v>5.47</v>
      </c>
      <c r="E19" s="5">
        <f>'Исходные данные'!E19</f>
        <v>55.4</v>
      </c>
      <c r="F19" s="2" t="str">
        <f>'Исходные данные'!F19</f>
        <v>InfraRoad Maintenance</v>
      </c>
      <c r="G19" s="2" t="str">
        <f>'Исходные данные'!G19</f>
        <v>Высокая</v>
      </c>
      <c r="H19" s="2" t="str">
        <f>'Исходные данные'!H19</f>
        <v>SHM-017</v>
      </c>
      <c r="I19" s="2" t="str">
        <f t="shared" si="0"/>
        <v>OK</v>
      </c>
      <c r="J19" s="2"/>
      <c r="K19" s="2"/>
      <c r="L19" s="2"/>
    </row>
    <row r="20" spans="1:12" ht="28.3">
      <c r="A20" s="2">
        <f>'Исходные данные'!A20</f>
        <v>18</v>
      </c>
      <c r="B20" s="2" t="str">
        <f>'Исходные данные'!B20</f>
        <v>Промышленный</v>
      </c>
      <c r="C20" s="4" t="str">
        <f>'Исходные данные'!C20</f>
        <v>Рамный путепровод</v>
      </c>
      <c r="D20" s="4">
        <f>'Исходные данные'!D20</f>
        <v>5.91</v>
      </c>
      <c r="E20" s="5">
        <f>'Исходные данные'!E20</f>
        <v>77.7</v>
      </c>
      <c r="F20" s="2" t="str">
        <f>'Исходные данные'!F20</f>
        <v>City Bridge Service</v>
      </c>
      <c r="G20" s="2" t="str">
        <f>'Исходные данные'!G20</f>
        <v>Высокая</v>
      </c>
      <c r="H20" s="2" t="str">
        <f>'Исходные данные'!H20</f>
        <v>SHM-018</v>
      </c>
      <c r="I20" s="2" t="str">
        <f t="shared" si="0"/>
        <v>OK</v>
      </c>
      <c r="J20" s="2"/>
      <c r="K20" s="2"/>
      <c r="L20" s="2"/>
    </row>
    <row r="21" spans="1:12" ht="28.3">
      <c r="A21" s="2">
        <f>'Исходные данные'!A21</f>
        <v>19</v>
      </c>
      <c r="B21" s="2" t="str">
        <f>'Исходные данные'!B21</f>
        <v>Западный</v>
      </c>
      <c r="C21" s="4" t="str">
        <f>'Исходные данные'!C21</f>
        <v>Стальной балочный</v>
      </c>
      <c r="D21" s="4">
        <f>'Исходные данные'!D21</f>
        <v>2.5099999999999998</v>
      </c>
      <c r="E21" s="5">
        <f>'Исходные данные'!E21</f>
        <v>34.200000000000003</v>
      </c>
      <c r="F21" s="2" t="str">
        <f>'Исходные данные'!F21</f>
        <v>City Bridge Service</v>
      </c>
      <c r="G21" s="2" t="str">
        <f>'Исходные данные'!G21</f>
        <v>Средняя</v>
      </c>
      <c r="H21" s="2" t="str">
        <f>'Исходные данные'!H21</f>
        <v>SHM-019</v>
      </c>
      <c r="I21" s="2" t="str">
        <f t="shared" si="0"/>
        <v>OK</v>
      </c>
      <c r="J21" s="2"/>
      <c r="K21" s="2"/>
      <c r="L21" s="2"/>
    </row>
    <row r="22" spans="1:12" ht="28.3">
      <c r="A22" s="2">
        <f>'Исходные данные'!A22</f>
        <v>20</v>
      </c>
      <c r="B22" s="2" t="str">
        <f>'Исходные данные'!B22</f>
        <v>Восточный</v>
      </c>
      <c r="C22" s="4" t="str">
        <f>'Исходные данные'!C22</f>
        <v>Железобетонный балочный</v>
      </c>
      <c r="D22" s="4">
        <f>'Исходные данные'!D22</f>
        <v>3.58</v>
      </c>
      <c r="E22" s="5">
        <f>'Исходные данные'!E22</f>
        <v>42.4</v>
      </c>
      <c r="F22" s="2" t="str">
        <f>'Исходные данные'!F22</f>
        <v>Urban Structures Unit</v>
      </c>
      <c r="G22" s="2" t="str">
        <f>'Исходные данные'!G22</f>
        <v>Средняя</v>
      </c>
      <c r="H22" s="2" t="str">
        <f>'Исходные данные'!H22</f>
        <v>SHM-020</v>
      </c>
      <c r="I22" s="2" t="str">
        <f t="shared" si="0"/>
        <v>OK</v>
      </c>
      <c r="J22" s="2"/>
      <c r="K22" s="2"/>
      <c r="L22" s="2"/>
    </row>
    <row r="23" spans="1:12" ht="28.3">
      <c r="A23" s="2">
        <f>'Исходные данные'!A23</f>
        <v>21</v>
      </c>
      <c r="B23" s="2" t="str">
        <f>'Исходные данные'!B23</f>
        <v>Восточный</v>
      </c>
      <c r="C23" s="4" t="str">
        <f>'Исходные данные'!C23</f>
        <v>Коробчатый железобетонный</v>
      </c>
      <c r="D23" s="4">
        <f>'Исходные данные'!D23</f>
        <v>3.05</v>
      </c>
      <c r="E23" s="5">
        <f>'Исходные данные'!E23</f>
        <v>45.7</v>
      </c>
      <c r="F23" s="2" t="str">
        <f>'Исходные данные'!F23</f>
        <v>InfraRoad Maintenance</v>
      </c>
      <c r="G23" s="2" t="str">
        <f>'Исходные данные'!G23</f>
        <v>Средняя</v>
      </c>
      <c r="H23" s="2" t="str">
        <f>'Исходные данные'!H23</f>
        <v>SHM-021</v>
      </c>
      <c r="I23" s="2" t="str">
        <f t="shared" si="0"/>
        <v>OK</v>
      </c>
      <c r="J23" s="2"/>
      <c r="K23" s="2"/>
      <c r="L23" s="2"/>
    </row>
    <row r="24" spans="1:12" ht="28.3">
      <c r="A24" s="2">
        <f>'Исходные данные'!A24</f>
        <v>22</v>
      </c>
      <c r="B24" s="2" t="str">
        <f>'Исходные данные'!B24</f>
        <v>Южный</v>
      </c>
      <c r="C24" s="4" t="str">
        <f>'Исходные данные'!C24</f>
        <v>Арочный стальной</v>
      </c>
      <c r="D24" s="4">
        <f>'Исходные данные'!D24</f>
        <v>3.88</v>
      </c>
      <c r="E24" s="5">
        <f>'Исходные данные'!E24</f>
        <v>46.6</v>
      </c>
      <c r="F24" s="2" t="str">
        <f>'Исходные данные'!F24</f>
        <v>City Bridge Service</v>
      </c>
      <c r="G24" s="2" t="str">
        <f>'Исходные данные'!G24</f>
        <v>Средняя</v>
      </c>
      <c r="H24" s="2" t="str">
        <f>'Исходные данные'!H24</f>
        <v>SHM-022</v>
      </c>
      <c r="I24" s="2" t="str">
        <f t="shared" si="0"/>
        <v>OK</v>
      </c>
      <c r="J24" s="2"/>
      <c r="K24" s="2"/>
      <c r="L24" s="2"/>
    </row>
    <row r="25" spans="1:12">
      <c r="A25" s="2">
        <f>'Исходные данные'!A25</f>
        <v>23</v>
      </c>
      <c r="B25" s="2" t="str">
        <f>'Исходные данные'!B25</f>
        <v>Северный</v>
      </c>
      <c r="C25" s="4" t="str">
        <f>'Исходные данные'!C25</f>
        <v>Вантовый</v>
      </c>
      <c r="D25" s="4">
        <f>'Исходные данные'!D25</f>
        <v>5.7</v>
      </c>
      <c r="E25" s="5">
        <f>'Исходные данные'!E25</f>
        <v>60.7</v>
      </c>
      <c r="F25" s="2" t="str">
        <f>'Исходные данные'!F25</f>
        <v>Urban Structures Unit</v>
      </c>
      <c r="G25" s="2" t="str">
        <f>'Исходные данные'!G25</f>
        <v>Высокая</v>
      </c>
      <c r="H25" s="2" t="str">
        <f>'Исходные данные'!H25</f>
        <v>SHM-023</v>
      </c>
      <c r="I25" s="2" t="str">
        <f t="shared" si="0"/>
        <v>OK</v>
      </c>
      <c r="J25" s="2"/>
      <c r="K25" s="2"/>
      <c r="L25" s="2"/>
    </row>
    <row r="26" spans="1:12" ht="28.3">
      <c r="A26" s="2">
        <f>'Исходные данные'!A26</f>
        <v>24</v>
      </c>
      <c r="B26" s="2" t="str">
        <f>'Исходные данные'!B26</f>
        <v>Центральный</v>
      </c>
      <c r="C26" s="4" t="str">
        <f>'Исходные данные'!C26</f>
        <v>Рамный путепровод</v>
      </c>
      <c r="D26" s="4">
        <f>'Исходные данные'!D26</f>
        <v>4.1399999999999997</v>
      </c>
      <c r="E26" s="5">
        <f>'Исходные данные'!E26</f>
        <v>62.6</v>
      </c>
      <c r="F26" s="2" t="str">
        <f>'Исходные данные'!F26</f>
        <v>InfraRoad Maintenance</v>
      </c>
      <c r="G26" s="2" t="str">
        <f>'Исходные данные'!G26</f>
        <v>Средняя</v>
      </c>
      <c r="H26" s="2" t="str">
        <f>'Исходные данные'!H26</f>
        <v>SHM-024</v>
      </c>
      <c r="I26" s="2" t="str">
        <f t="shared" si="0"/>
        <v>OK</v>
      </c>
      <c r="J26" s="2"/>
      <c r="K26" s="2"/>
      <c r="L26" s="2"/>
    </row>
    <row r="27" spans="1:12" ht="28.3">
      <c r="A27" s="2">
        <f>'Исходные данные'!A27</f>
        <v>25</v>
      </c>
      <c r="B27" s="2" t="str">
        <f>'Исходные данные'!B27</f>
        <v>Центральный</v>
      </c>
      <c r="C27" s="4" t="str">
        <f>'Исходные данные'!C27</f>
        <v>Стальной балочный</v>
      </c>
      <c r="D27" s="4">
        <f>'Исходные данные'!D27</f>
        <v>3.59</v>
      </c>
      <c r="E27" s="5">
        <f>'Исходные данные'!E27</f>
        <v>36.1</v>
      </c>
      <c r="F27" s="2" t="str">
        <f>'Исходные данные'!F27</f>
        <v>InfraRoad Maintenance</v>
      </c>
      <c r="G27" s="2" t="str">
        <f>'Исходные данные'!G27</f>
        <v>Средняя</v>
      </c>
      <c r="H27" s="2" t="str">
        <f>'Исходные данные'!H27</f>
        <v>SHM-025</v>
      </c>
      <c r="I27" s="2" t="str">
        <f t="shared" si="0"/>
        <v>OK</v>
      </c>
      <c r="J27" s="2"/>
      <c r="K27" s="2"/>
      <c r="L27" s="2"/>
    </row>
    <row r="28" spans="1:12" ht="28.3">
      <c r="A28" s="2">
        <f>'Исходные данные'!A28</f>
        <v>26</v>
      </c>
      <c r="B28" s="2" t="str">
        <f>'Исходные данные'!B28</f>
        <v>Промышленный</v>
      </c>
      <c r="C28" s="4" t="str">
        <f>'Исходные данные'!C28</f>
        <v>Железобетонный балочный</v>
      </c>
      <c r="D28" s="4">
        <f>'Исходные данные'!D28</f>
        <v>2.59</v>
      </c>
      <c r="E28" s="5">
        <f>'Исходные данные'!E28</f>
        <v>39.700000000000003</v>
      </c>
      <c r="F28" s="2" t="str">
        <f>'Исходные данные'!F28</f>
        <v>City Bridge Service</v>
      </c>
      <c r="G28" s="2" t="str">
        <f>'Исходные данные'!G28</f>
        <v>Средняя</v>
      </c>
      <c r="H28" s="2" t="str">
        <f>'Исходные данные'!H28</f>
        <v>SHM-026</v>
      </c>
      <c r="I28" s="2" t="str">
        <f t="shared" si="0"/>
        <v>OK</v>
      </c>
      <c r="J28" s="2"/>
      <c r="K28" s="2"/>
      <c r="L28" s="2"/>
    </row>
    <row r="29" spans="1:12" ht="28.3">
      <c r="A29" s="2">
        <f>'Исходные данные'!A29</f>
        <v>27</v>
      </c>
      <c r="B29" s="2" t="str">
        <f>'Исходные данные'!B29</f>
        <v>Западный</v>
      </c>
      <c r="C29" s="4" t="str">
        <f>'Исходные данные'!C29</f>
        <v>Коробчатый железобетонный</v>
      </c>
      <c r="D29" s="4">
        <f>'Исходные данные'!D29</f>
        <v>3.86</v>
      </c>
      <c r="E29" s="5">
        <f>'Исходные данные'!E29</f>
        <v>61.5</v>
      </c>
      <c r="F29" s="2" t="str">
        <f>'Исходные данные'!F29</f>
        <v>Urban Structures Unit</v>
      </c>
      <c r="G29" s="2" t="str">
        <f>'Исходные данные'!G29</f>
        <v>Средняя</v>
      </c>
      <c r="H29" s="2" t="str">
        <f>'Исходные данные'!H29</f>
        <v>SHM-027</v>
      </c>
      <c r="I29" s="2" t="str">
        <f t="shared" si="0"/>
        <v>OK</v>
      </c>
      <c r="J29" s="2"/>
      <c r="K29" s="2"/>
      <c r="L29" s="2"/>
    </row>
    <row r="30" spans="1:12" ht="28.3">
      <c r="A30" s="2">
        <f>'Исходные данные'!A30</f>
        <v>28</v>
      </c>
      <c r="B30" s="2" t="str">
        <f>'Исходные данные'!B30</f>
        <v>Восточный</v>
      </c>
      <c r="C30" s="4" t="str">
        <f>'Исходные данные'!C30</f>
        <v>Арочный стальной</v>
      </c>
      <c r="D30" s="4">
        <f>'Исходные данные'!D30</f>
        <v>4</v>
      </c>
      <c r="E30" s="5">
        <f>'Исходные данные'!E30</f>
        <v>46.1</v>
      </c>
      <c r="F30" s="2" t="str">
        <f>'Исходные данные'!F30</f>
        <v>InfraRoad Maintenance</v>
      </c>
      <c r="G30" s="2" t="str">
        <f>'Исходные данные'!G30</f>
        <v>Средняя</v>
      </c>
      <c r="H30" s="2" t="str">
        <f>'Исходные данные'!H30</f>
        <v>SHM-028</v>
      </c>
      <c r="I30" s="2" t="str">
        <f t="shared" si="0"/>
        <v>OK</v>
      </c>
      <c r="J30" s="2"/>
      <c r="K30" s="2"/>
      <c r="L30" s="2"/>
    </row>
    <row r="31" spans="1:12">
      <c r="A31" s="2">
        <f>'Исходные данные'!A31</f>
        <v>29</v>
      </c>
      <c r="B31" s="2" t="str">
        <f>'Исходные данные'!B31</f>
        <v>Восточный</v>
      </c>
      <c r="C31" s="4" t="str">
        <f>'Исходные данные'!C31</f>
        <v>Вантовый</v>
      </c>
      <c r="D31" s="4">
        <f>'Исходные данные'!D31</f>
        <v>4.4400000000000004</v>
      </c>
      <c r="E31" s="5">
        <f>'Исходные данные'!E31</f>
        <v>50.6</v>
      </c>
      <c r="F31" s="2" t="str">
        <f>'Исходные данные'!F31</f>
        <v>City Bridge Service</v>
      </c>
      <c r="G31" s="2" t="str">
        <f>'Исходные данные'!G31</f>
        <v>Средняя</v>
      </c>
      <c r="H31" s="2" t="str">
        <f>'Исходные данные'!H31</f>
        <v>SHM-029</v>
      </c>
      <c r="I31" s="2" t="str">
        <f t="shared" si="0"/>
        <v>OK</v>
      </c>
      <c r="J31" s="2"/>
      <c r="K31" s="2"/>
      <c r="L31" s="2"/>
    </row>
    <row r="32" spans="1:12" ht="28.3">
      <c r="A32" s="2">
        <f>'Исходные данные'!A32</f>
        <v>30</v>
      </c>
      <c r="B32" s="2" t="str">
        <f>'Исходные данные'!B32</f>
        <v>Южный</v>
      </c>
      <c r="C32" s="4" t="str">
        <f>'Исходные данные'!C32</f>
        <v>Рамный путепровод</v>
      </c>
      <c r="D32" s="4">
        <f>'Исходные данные'!D32</f>
        <v>5.35</v>
      </c>
      <c r="E32" s="5">
        <f>'Исходные данные'!E32</f>
        <v>60.9</v>
      </c>
      <c r="F32" s="2" t="str">
        <f>'Исходные данные'!F32</f>
        <v>Urban Structures Unit</v>
      </c>
      <c r="G32" s="2" t="str">
        <f>'Исходные данные'!G32</f>
        <v>Высокая</v>
      </c>
      <c r="H32" s="2" t="str">
        <f>'Исходные данные'!H32</f>
        <v>SHM-030</v>
      </c>
      <c r="I32" s="2" t="str">
        <f t="shared" si="0"/>
        <v>OK</v>
      </c>
      <c r="J32" s="2"/>
      <c r="K32" s="2"/>
      <c r="L32" s="2"/>
    </row>
    <row r="33" spans="1:12" ht="28.3">
      <c r="A33" s="2">
        <f>'Исходные данные'!A33</f>
        <v>31</v>
      </c>
      <c r="B33" s="2" t="str">
        <f>'Исходные данные'!B33</f>
        <v>Северный</v>
      </c>
      <c r="C33" s="4" t="str">
        <f>'Исходные данные'!C33</f>
        <v>Стальной балочный</v>
      </c>
      <c r="D33" s="4">
        <f>'Исходные данные'!D33</f>
        <v>2.5099999999999998</v>
      </c>
      <c r="E33" s="5">
        <f>'Исходные данные'!E33</f>
        <v>31.9</v>
      </c>
      <c r="F33" s="2" t="str">
        <f>'Исходные данные'!F33</f>
        <v>Urban Structures Unit</v>
      </c>
      <c r="G33" s="2" t="str">
        <f>'Исходные данные'!G33</f>
        <v>Средняя</v>
      </c>
      <c r="H33" s="2" t="str">
        <f>'Исходные данные'!H33</f>
        <v>SHM-031</v>
      </c>
      <c r="I33" s="2" t="str">
        <f t="shared" si="0"/>
        <v>OK</v>
      </c>
      <c r="J33" s="2"/>
      <c r="K33" s="2"/>
      <c r="L33" s="2"/>
    </row>
    <row r="34" spans="1:12" ht="28.3">
      <c r="A34" s="2">
        <f>'Исходные данные'!A34</f>
        <v>32</v>
      </c>
      <c r="B34" s="2" t="str">
        <f>'Исходные данные'!B34</f>
        <v>Центральный</v>
      </c>
      <c r="C34" s="4" t="str">
        <f>'Исходные данные'!C34</f>
        <v>Железобетонный балочный</v>
      </c>
      <c r="D34" s="4">
        <f>'Исходные данные'!D34</f>
        <v>2.23</v>
      </c>
      <c r="E34" s="5">
        <f>'Исходные данные'!E34</f>
        <v>34.5</v>
      </c>
      <c r="F34" s="2" t="str">
        <f>'Исходные данные'!F34</f>
        <v>InfraRoad Maintenance</v>
      </c>
      <c r="G34" s="2" t="str">
        <f>'Исходные данные'!G34</f>
        <v>Низкая</v>
      </c>
      <c r="H34" s="2" t="str">
        <f>'Исходные данные'!H34</f>
        <v>SHM-032</v>
      </c>
      <c r="I34" s="2" t="str">
        <f t="shared" si="0"/>
        <v>OK</v>
      </c>
      <c r="J34" s="2"/>
      <c r="K34" s="2"/>
      <c r="L34" s="2"/>
    </row>
    <row r="35" spans="1:12" ht="28.3">
      <c r="A35" s="2">
        <f>'Исходные данные'!A35</f>
        <v>33</v>
      </c>
      <c r="B35" s="2" t="str">
        <f>'Исходные данные'!B35</f>
        <v>Центральный</v>
      </c>
      <c r="C35" s="4" t="str">
        <f>'Исходные данные'!C35</f>
        <v>Коробчатый железобетонный</v>
      </c>
      <c r="D35" s="4">
        <f>'Исходные данные'!D35</f>
        <v>3.89</v>
      </c>
      <c r="E35" s="5">
        <f>'Исходные данные'!E35</f>
        <v>46.6</v>
      </c>
      <c r="F35" s="2" t="str">
        <f>'Исходные данные'!F35</f>
        <v>City Bridge Service</v>
      </c>
      <c r="G35" s="2" t="str">
        <f>'Исходные данные'!G35</f>
        <v>Средняя</v>
      </c>
      <c r="H35" s="2" t="str">
        <f>'Исходные данные'!H35</f>
        <v>SHM-033</v>
      </c>
      <c r="I35" s="2" t="str">
        <f t="shared" ref="I35:I62" si="1">IF(OR(D35="",E35=""),"Пропуск","OK")</f>
        <v>OK</v>
      </c>
      <c r="J35" s="2"/>
      <c r="K35" s="2"/>
      <c r="L35" s="2"/>
    </row>
    <row r="36" spans="1:12" ht="28.3">
      <c r="A36" s="2">
        <f>'Исходные данные'!A36</f>
        <v>34</v>
      </c>
      <c r="B36" s="2" t="str">
        <f>'Исходные данные'!B36</f>
        <v>Промышленный</v>
      </c>
      <c r="C36" s="4" t="str">
        <f>'Исходные данные'!C36</f>
        <v>Арочный стальной</v>
      </c>
      <c r="D36" s="4">
        <f>'Исходные данные'!D36</f>
        <v>5.58</v>
      </c>
      <c r="E36" s="5">
        <f>'Исходные данные'!E36</f>
        <v>61.2</v>
      </c>
      <c r="F36" s="2" t="str">
        <f>'Исходные данные'!F36</f>
        <v>Urban Structures Unit</v>
      </c>
      <c r="G36" s="2" t="str">
        <f>'Исходные данные'!G36</f>
        <v>Высокая</v>
      </c>
      <c r="H36" s="2" t="str">
        <f>'Исходные данные'!H36</f>
        <v>SHM-034</v>
      </c>
      <c r="I36" s="2" t="str">
        <f t="shared" si="1"/>
        <v>OK</v>
      </c>
      <c r="J36" s="2"/>
      <c r="K36" s="2"/>
      <c r="L36" s="2"/>
    </row>
    <row r="37" spans="1:12">
      <c r="A37" s="2">
        <f>'Исходные данные'!A37</f>
        <v>35</v>
      </c>
      <c r="B37" s="2" t="str">
        <f>'Исходные данные'!B37</f>
        <v>Западный</v>
      </c>
      <c r="C37" s="4" t="str">
        <f>'Исходные данные'!C37</f>
        <v>Вантовый</v>
      </c>
      <c r="D37" s="4">
        <f>'Исходные данные'!D37</f>
        <v>5.96</v>
      </c>
      <c r="E37" s="5">
        <f>'Исходные данные'!E37</f>
        <v>75</v>
      </c>
      <c r="F37" s="2" t="str">
        <f>'Исходные данные'!F37</f>
        <v>InfraRoad Maintenance</v>
      </c>
      <c r="G37" s="2" t="str">
        <f>'Исходные данные'!G37</f>
        <v>Высокая</v>
      </c>
      <c r="H37" s="2" t="str">
        <f>'Исходные данные'!H37</f>
        <v>SHM-035</v>
      </c>
      <c r="I37" s="2" t="str">
        <f t="shared" si="1"/>
        <v>OK</v>
      </c>
      <c r="J37" s="2"/>
      <c r="K37" s="2"/>
      <c r="L37" s="2"/>
    </row>
    <row r="38" spans="1:12" ht="28.3">
      <c r="A38" s="2">
        <f>'Исходные данные'!A38</f>
        <v>36</v>
      </c>
      <c r="B38" s="2" t="str">
        <f>'Исходные данные'!B38</f>
        <v>Восточный</v>
      </c>
      <c r="C38" s="4" t="str">
        <f>'Исходные данные'!C38</f>
        <v>Рамный путепровод</v>
      </c>
      <c r="D38" s="4">
        <f>'Исходные данные'!D38</f>
        <v>4.07</v>
      </c>
      <c r="E38" s="5">
        <f>'Исходные данные'!E38</f>
        <v>53.9</v>
      </c>
      <c r="F38" s="2" t="str">
        <f>'Исходные данные'!F38</f>
        <v>City Bridge Service</v>
      </c>
      <c r="G38" s="2" t="str">
        <f>'Исходные данные'!G38</f>
        <v>Средняя</v>
      </c>
      <c r="H38" s="2" t="str">
        <f>'Исходные данные'!H38</f>
        <v>SHM-036</v>
      </c>
      <c r="I38" s="2" t="str">
        <f t="shared" si="1"/>
        <v>OK</v>
      </c>
      <c r="J38" s="2"/>
      <c r="K38" s="2"/>
      <c r="L38" s="2"/>
    </row>
    <row r="39" spans="1:12" ht="28.3">
      <c r="A39" s="2">
        <f>'Исходные данные'!A39</f>
        <v>37</v>
      </c>
      <c r="B39" s="2" t="str">
        <f>'Исходные данные'!B39</f>
        <v>Восточный</v>
      </c>
      <c r="C39" s="4" t="str">
        <f>'Исходные данные'!C39</f>
        <v>Стальной балочный</v>
      </c>
      <c r="D39" s="4">
        <f>'Исходные данные'!D39</f>
        <v>2.8</v>
      </c>
      <c r="E39" s="5">
        <f>'Исходные данные'!E39</f>
        <v>25.2</v>
      </c>
      <c r="F39" s="2" t="str">
        <f>'Исходные данные'!F39</f>
        <v>City Bridge Service</v>
      </c>
      <c r="G39" s="2" t="str">
        <f>'Исходные данные'!G39</f>
        <v>Средняя</v>
      </c>
      <c r="H39" s="2" t="str">
        <f>'Исходные данные'!H39</f>
        <v>SHM-037</v>
      </c>
      <c r="I39" s="2" t="str">
        <f t="shared" si="1"/>
        <v>OK</v>
      </c>
      <c r="J39" s="2"/>
      <c r="K39" s="2"/>
      <c r="L39" s="2"/>
    </row>
    <row r="40" spans="1:12" ht="28.3">
      <c r="A40" s="2">
        <f>'Исходные данные'!A40</f>
        <v>38</v>
      </c>
      <c r="B40" s="2" t="str">
        <f>'Исходные данные'!B40</f>
        <v>Южный</v>
      </c>
      <c r="C40" s="4" t="str">
        <f>'Исходные данные'!C40</f>
        <v>Железобетонный балочный</v>
      </c>
      <c r="D40" s="4">
        <f>'Исходные данные'!D40</f>
        <v>2.4300000000000002</v>
      </c>
      <c r="E40" s="5">
        <f>'Исходные данные'!E40</f>
        <v>41.4</v>
      </c>
      <c r="F40" s="2" t="str">
        <f>'Исходные данные'!F40</f>
        <v>Urban Structures Unit</v>
      </c>
      <c r="G40" s="2" t="str">
        <f>'Исходные данные'!G40</f>
        <v>Средняя</v>
      </c>
      <c r="H40" s="2" t="str">
        <f>'Исходные данные'!H40</f>
        <v>SHM-038</v>
      </c>
      <c r="I40" s="2" t="str">
        <f t="shared" si="1"/>
        <v>OK</v>
      </c>
      <c r="J40" s="2"/>
      <c r="K40" s="2"/>
      <c r="L40" s="2"/>
    </row>
    <row r="41" spans="1:12" ht="28.3">
      <c r="A41" s="2">
        <f>'Исходные данные'!A41</f>
        <v>39</v>
      </c>
      <c r="B41" s="2" t="str">
        <f>'Исходные данные'!B41</f>
        <v>Северный</v>
      </c>
      <c r="C41" s="4" t="str">
        <f>'Исходные данные'!C41</f>
        <v>Коробчатый железобетонный</v>
      </c>
      <c r="D41" s="4">
        <f>'Исходные данные'!D41</f>
        <v>4.46</v>
      </c>
      <c r="E41" s="5">
        <f>'Исходные данные'!E41</f>
        <v>46.7</v>
      </c>
      <c r="F41" s="2" t="str">
        <f>'Исходные данные'!F41</f>
        <v>InfraRoad Maintenance</v>
      </c>
      <c r="G41" s="2" t="str">
        <f>'Исходные данные'!G41</f>
        <v>Средняя</v>
      </c>
      <c r="H41" s="2" t="str">
        <f>'Исходные данные'!H41</f>
        <v>SHM-039</v>
      </c>
      <c r="I41" s="2" t="str">
        <f t="shared" si="1"/>
        <v>OK</v>
      </c>
      <c r="J41" s="2"/>
      <c r="K41" s="2"/>
      <c r="L41" s="2"/>
    </row>
    <row r="42" spans="1:12" ht="28.3">
      <c r="A42" s="2">
        <f>'Исходные данные'!A42</f>
        <v>40</v>
      </c>
      <c r="B42" s="2" t="str">
        <f>'Исходные данные'!B42</f>
        <v>Центральный</v>
      </c>
      <c r="C42" s="4" t="str">
        <f>'Исходные данные'!C42</f>
        <v>Арочный стальной</v>
      </c>
      <c r="D42" s="4">
        <f>'Исходные данные'!D42</f>
        <v>5.79</v>
      </c>
      <c r="E42" s="5">
        <f>'Исходные данные'!E42</f>
        <v>71.7</v>
      </c>
      <c r="F42" s="2" t="str">
        <f>'Исходные данные'!F42</f>
        <v>City Bridge Service</v>
      </c>
      <c r="G42" s="2" t="str">
        <f>'Исходные данные'!G42</f>
        <v>Высокая</v>
      </c>
      <c r="H42" s="2" t="str">
        <f>'Исходные данные'!H42</f>
        <v>SHM-040</v>
      </c>
      <c r="I42" s="2" t="str">
        <f t="shared" si="1"/>
        <v>OK</v>
      </c>
      <c r="J42" s="2"/>
      <c r="K42" s="2"/>
      <c r="L42" s="2"/>
    </row>
    <row r="43" spans="1:12">
      <c r="A43" s="2">
        <f>'Исходные данные'!A43</f>
        <v>41</v>
      </c>
      <c r="B43" s="2" t="str">
        <f>'Исходные данные'!B43</f>
        <v>Центральный</v>
      </c>
      <c r="C43" s="4" t="str">
        <f>'Исходные данные'!C43</f>
        <v>Вантовый</v>
      </c>
      <c r="D43" s="4">
        <f>'Исходные данные'!D43</f>
        <v>5.3</v>
      </c>
      <c r="E43" s="5">
        <f>'Исходные данные'!E43</f>
        <v>64.8</v>
      </c>
      <c r="F43" s="2" t="str">
        <f>'Исходные данные'!F43</f>
        <v>Urban Structures Unit</v>
      </c>
      <c r="G43" s="2" t="str">
        <f>'Исходные данные'!G43</f>
        <v>Высокая</v>
      </c>
      <c r="H43" s="2" t="str">
        <f>'Исходные данные'!H43</f>
        <v>SHM-041</v>
      </c>
      <c r="I43" s="2" t="str">
        <f t="shared" si="1"/>
        <v>OK</v>
      </c>
      <c r="J43" s="2"/>
      <c r="K43" s="2"/>
      <c r="L43" s="2"/>
    </row>
    <row r="44" spans="1:12" ht="28.3">
      <c r="A44" s="2">
        <f>'Исходные данные'!A44</f>
        <v>42</v>
      </c>
      <c r="B44" s="2" t="str">
        <f>'Исходные данные'!B44</f>
        <v>Промышленный</v>
      </c>
      <c r="C44" s="4" t="str">
        <f>'Исходные данные'!C44</f>
        <v>Рамный путепровод</v>
      </c>
      <c r="D44" s="4">
        <f>'Исходные данные'!D44</f>
        <v>5.14</v>
      </c>
      <c r="E44" s="5">
        <f>'Исходные данные'!E44</f>
        <v>61</v>
      </c>
      <c r="F44" s="2" t="str">
        <f>'Исходные данные'!F44</f>
        <v>InfraRoad Maintenance</v>
      </c>
      <c r="G44" s="2" t="str">
        <f>'Исходные данные'!G44</f>
        <v>Высокая</v>
      </c>
      <c r="H44" s="2" t="str">
        <f>'Исходные данные'!H44</f>
        <v>SHM-042</v>
      </c>
      <c r="I44" s="2" t="str">
        <f t="shared" si="1"/>
        <v>OK</v>
      </c>
      <c r="J44" s="2"/>
      <c r="K44" s="2"/>
      <c r="L44" s="2"/>
    </row>
    <row r="45" spans="1:12" ht="28.3">
      <c r="A45" s="2">
        <f>'Исходные данные'!A45</f>
        <v>43</v>
      </c>
      <c r="B45" s="2" t="str">
        <f>'Исходные данные'!B45</f>
        <v>Западный</v>
      </c>
      <c r="C45" s="4" t="str">
        <f>'Исходные данные'!C45</f>
        <v>Стальной балочный</v>
      </c>
      <c r="D45" s="4">
        <f>'Исходные данные'!D45</f>
        <v>3</v>
      </c>
      <c r="E45" s="5">
        <f>'Исходные данные'!E45</f>
        <v>34.9</v>
      </c>
      <c r="F45" s="2" t="str">
        <f>'Исходные данные'!F45</f>
        <v>InfraRoad Maintenance</v>
      </c>
      <c r="G45" s="2" t="str">
        <f>'Исходные данные'!G45</f>
        <v>Средняя</v>
      </c>
      <c r="H45" s="2" t="str">
        <f>'Исходные данные'!H45</f>
        <v>SHM-043</v>
      </c>
      <c r="I45" s="2" t="str">
        <f t="shared" si="1"/>
        <v>OK</v>
      </c>
      <c r="J45" s="2"/>
      <c r="K45" s="2"/>
      <c r="L45" s="2"/>
    </row>
    <row r="46" spans="1:12" ht="28.3">
      <c r="A46" s="2">
        <f>'Исходные данные'!A46</f>
        <v>44</v>
      </c>
      <c r="B46" s="2" t="str">
        <f>'Исходные данные'!B46</f>
        <v>Восточный</v>
      </c>
      <c r="C46" s="4" t="str">
        <f>'Исходные данные'!C46</f>
        <v>Железобетонный балочный</v>
      </c>
      <c r="D46" s="4">
        <f>'Исходные данные'!D46</f>
        <v>3.43</v>
      </c>
      <c r="E46" s="5">
        <f>'Исходные данные'!E46</f>
        <v>41.2</v>
      </c>
      <c r="F46" s="2" t="str">
        <f>'Исходные данные'!F46</f>
        <v>City Bridge Service</v>
      </c>
      <c r="G46" s="2" t="str">
        <f>'Исходные данные'!G46</f>
        <v>Средняя</v>
      </c>
      <c r="H46" s="2" t="str">
        <f>'Исходные данные'!H46</f>
        <v>SHM-044</v>
      </c>
      <c r="I46" s="2" t="str">
        <f t="shared" si="1"/>
        <v>OK</v>
      </c>
      <c r="J46" s="2"/>
      <c r="K46" s="2"/>
      <c r="L46" s="2"/>
    </row>
    <row r="47" spans="1:12" ht="28.3">
      <c r="A47" s="2">
        <f>'Исходные данные'!A47</f>
        <v>45</v>
      </c>
      <c r="B47" s="2" t="str">
        <f>'Исходные данные'!B47</f>
        <v>Восточный</v>
      </c>
      <c r="C47" s="4" t="str">
        <f>'Исходные данные'!C47</f>
        <v>Коробчатый железобетонный</v>
      </c>
      <c r="D47" s="4">
        <f>'Исходные данные'!D47</f>
        <v>3.25</v>
      </c>
      <c r="E47" s="5">
        <f>'Исходные данные'!E47</f>
        <v>51.6</v>
      </c>
      <c r="F47" s="2" t="str">
        <f>'Исходные данные'!F47</f>
        <v>Urban Structures Unit</v>
      </c>
      <c r="G47" s="2" t="str">
        <f>'Исходные данные'!G47</f>
        <v>Средняя</v>
      </c>
      <c r="H47" s="2" t="str">
        <f>'Исходные данные'!H47</f>
        <v>SHM-045</v>
      </c>
      <c r="I47" s="2" t="str">
        <f t="shared" si="1"/>
        <v>OK</v>
      </c>
      <c r="J47" s="2"/>
      <c r="K47" s="2"/>
      <c r="L47" s="2"/>
    </row>
    <row r="48" spans="1:12" ht="28.3">
      <c r="A48" s="2">
        <f>'Исходные данные'!A48</f>
        <v>46</v>
      </c>
      <c r="B48" s="2" t="str">
        <f>'Исходные данные'!B48</f>
        <v>Южный</v>
      </c>
      <c r="C48" s="4" t="str">
        <f>'Исходные данные'!C48</f>
        <v>Арочный стальной</v>
      </c>
      <c r="D48" s="4">
        <f>'Исходные данные'!D48</f>
        <v>4.4800000000000004</v>
      </c>
      <c r="E48" s="5">
        <f>'Исходные данные'!E48</f>
        <v>62.3</v>
      </c>
      <c r="F48" s="2" t="str">
        <f>'Исходные данные'!F48</f>
        <v>InfraRoad Maintenance</v>
      </c>
      <c r="G48" s="2" t="str">
        <f>'Исходные данные'!G48</f>
        <v>Средняя</v>
      </c>
      <c r="H48" s="2" t="str">
        <f>'Исходные данные'!H48</f>
        <v>SHM-046</v>
      </c>
      <c r="I48" s="2" t="str">
        <f t="shared" si="1"/>
        <v>OK</v>
      </c>
      <c r="J48" s="2"/>
      <c r="K48" s="2"/>
      <c r="L48" s="2"/>
    </row>
    <row r="49" spans="1:12">
      <c r="A49" s="2">
        <f>'Исходные данные'!A49</f>
        <v>47</v>
      </c>
      <c r="B49" s="2" t="str">
        <f>'Исходные данные'!B49</f>
        <v>Северный</v>
      </c>
      <c r="C49" s="4" t="str">
        <f>'Исходные данные'!C49</f>
        <v>Вантовый</v>
      </c>
      <c r="D49" s="4">
        <f>'Исходные данные'!D49</f>
        <v>3.93</v>
      </c>
      <c r="E49" s="5">
        <f>'Исходные данные'!E49</f>
        <v>50.1</v>
      </c>
      <c r="F49" s="2" t="str">
        <f>'Исходные данные'!F49</f>
        <v>City Bridge Service</v>
      </c>
      <c r="G49" s="2" t="str">
        <f>'Исходные данные'!G49</f>
        <v>Средняя</v>
      </c>
      <c r="H49" s="2" t="str">
        <f>'Исходные данные'!H49</f>
        <v>SHM-047</v>
      </c>
      <c r="I49" s="2" t="str">
        <f t="shared" si="1"/>
        <v>OK</v>
      </c>
      <c r="J49" s="2"/>
      <c r="K49" s="2"/>
      <c r="L49" s="2"/>
    </row>
    <row r="50" spans="1:12" ht="28.3">
      <c r="A50" s="2">
        <f>'Исходные данные'!A50</f>
        <v>48</v>
      </c>
      <c r="B50" s="2" t="str">
        <f>'Исходные данные'!B50</f>
        <v>Центральный</v>
      </c>
      <c r="C50" s="4" t="str">
        <f>'Исходные данные'!C50</f>
        <v>Рамный путепровод</v>
      </c>
      <c r="D50" s="4">
        <f>'Исходные данные'!D50</f>
        <v>5.01</v>
      </c>
      <c r="E50" s="5">
        <f>'Исходные данные'!E50</f>
        <v>61.2</v>
      </c>
      <c r="F50" s="2" t="str">
        <f>'Исходные данные'!F50</f>
        <v>Urban Structures Unit</v>
      </c>
      <c r="G50" s="2" t="str">
        <f>'Исходные данные'!G50</f>
        <v>Высокая</v>
      </c>
      <c r="H50" s="2" t="str">
        <f>'Исходные данные'!H50</f>
        <v>SHM-048</v>
      </c>
      <c r="I50" s="2" t="str">
        <f t="shared" si="1"/>
        <v>OK</v>
      </c>
      <c r="J50" s="2"/>
      <c r="K50" s="2"/>
      <c r="L50" s="2"/>
    </row>
    <row r="51" spans="1:12" ht="28.3">
      <c r="A51" s="2">
        <f>'Исходные данные'!A51</f>
        <v>49</v>
      </c>
      <c r="B51" s="2" t="str">
        <f>'Исходные данные'!B51</f>
        <v>Центральный</v>
      </c>
      <c r="C51" s="4" t="str">
        <f>'Исходные данные'!C51</f>
        <v>Стальной балочный</v>
      </c>
      <c r="D51" s="4">
        <f>'Исходные данные'!D51</f>
        <v>2.2799999999999998</v>
      </c>
      <c r="E51" s="5">
        <f>'Исходные данные'!E51</f>
        <v>33.1</v>
      </c>
      <c r="F51" s="2" t="str">
        <f>'Исходные данные'!F51</f>
        <v>Urban Structures Unit</v>
      </c>
      <c r="G51" s="2" t="str">
        <f>'Исходные данные'!G51</f>
        <v>Низкая</v>
      </c>
      <c r="H51" s="2" t="str">
        <f>'Исходные данные'!H51</f>
        <v>SHM-049</v>
      </c>
      <c r="I51" s="2" t="str">
        <f t="shared" si="1"/>
        <v>OK</v>
      </c>
      <c r="J51" s="2"/>
      <c r="K51" s="2"/>
      <c r="L51" s="2"/>
    </row>
    <row r="52" spans="1:12" ht="28.3">
      <c r="A52" s="2">
        <f>'Исходные данные'!A52</f>
        <v>50</v>
      </c>
      <c r="B52" s="2" t="str">
        <f>'Исходные данные'!B52</f>
        <v>Промышленный</v>
      </c>
      <c r="C52" s="4" t="str">
        <f>'Исходные данные'!C52</f>
        <v>Железобетонный балочный</v>
      </c>
      <c r="D52" s="4">
        <f>'Исходные данные'!D52</f>
        <v>2.76</v>
      </c>
      <c r="E52" s="5">
        <f>'Исходные данные'!E52</f>
        <v>32.6</v>
      </c>
      <c r="F52" s="2" t="str">
        <f>'Исходные данные'!F52</f>
        <v>InfraRoad Maintenance</v>
      </c>
      <c r="G52" s="2" t="str">
        <f>'Исходные данные'!G52</f>
        <v>Средняя</v>
      </c>
      <c r="H52" s="2" t="str">
        <f>'Исходные данные'!H52</f>
        <v>SHM-050</v>
      </c>
      <c r="I52" s="2" t="str">
        <f t="shared" si="1"/>
        <v>OK</v>
      </c>
      <c r="J52" s="2"/>
      <c r="K52" s="2"/>
      <c r="L52" s="2"/>
    </row>
    <row r="53" spans="1:12" ht="28.3">
      <c r="A53" s="2">
        <f>'Исходные данные'!A53</f>
        <v>51</v>
      </c>
      <c r="B53" s="2" t="str">
        <f>'Исходные данные'!B53</f>
        <v>Западный</v>
      </c>
      <c r="C53" s="4" t="str">
        <f>'Исходные данные'!C53</f>
        <v>Коробчатый железобетонный</v>
      </c>
      <c r="D53" s="4">
        <f>'Исходные данные'!D53</f>
        <v>2.54</v>
      </c>
      <c r="E53" s="5">
        <f>'Исходные данные'!E53</f>
        <v>38.200000000000003</v>
      </c>
      <c r="F53" s="2" t="str">
        <f>'Исходные данные'!F53</f>
        <v>City Bridge Service</v>
      </c>
      <c r="G53" s="2" t="str">
        <f>'Исходные данные'!G53</f>
        <v>Средняя</v>
      </c>
      <c r="H53" s="2" t="str">
        <f>'Исходные данные'!H53</f>
        <v>SHM-051</v>
      </c>
      <c r="I53" s="2" t="str">
        <f t="shared" si="1"/>
        <v>OK</v>
      </c>
      <c r="J53" s="2"/>
      <c r="K53" s="2"/>
      <c r="L53" s="2"/>
    </row>
    <row r="54" spans="1:12" ht="28.3">
      <c r="A54" s="2">
        <f>'Исходные данные'!A54</f>
        <v>52</v>
      </c>
      <c r="B54" s="2" t="str">
        <f>'Исходные данные'!B54</f>
        <v>Восточный</v>
      </c>
      <c r="C54" s="4" t="str">
        <f>'Исходные данные'!C54</f>
        <v>Арочный стальной</v>
      </c>
      <c r="D54" s="4">
        <f>'Исходные данные'!D54</f>
        <v>5.2</v>
      </c>
      <c r="E54" s="5">
        <f>'Исходные данные'!E54</f>
        <v>73.599999999999994</v>
      </c>
      <c r="F54" s="2" t="str">
        <f>'Исходные данные'!F54</f>
        <v>Urban Structures Unit</v>
      </c>
      <c r="G54" s="2" t="str">
        <f>'Исходные данные'!G54</f>
        <v>Высокая</v>
      </c>
      <c r="H54" s="2" t="str">
        <f>'Исходные данные'!H54</f>
        <v>SHM-052</v>
      </c>
      <c r="I54" s="2" t="str">
        <f t="shared" si="1"/>
        <v>OK</v>
      </c>
      <c r="J54" s="2"/>
      <c r="K54" s="2"/>
      <c r="L54" s="2"/>
    </row>
    <row r="55" spans="1:12">
      <c r="A55" s="2">
        <f>'Исходные данные'!A55</f>
        <v>53</v>
      </c>
      <c r="B55" s="2" t="str">
        <f>'Исходные данные'!B55</f>
        <v>Восточный</v>
      </c>
      <c r="C55" s="4" t="str">
        <f>'Исходные данные'!C55</f>
        <v>Вантовый</v>
      </c>
      <c r="D55" s="4">
        <f>'Исходные данные'!D55</f>
        <v>5.46</v>
      </c>
      <c r="E55" s="5">
        <f>'Исходные данные'!E55</f>
        <v>76.2</v>
      </c>
      <c r="F55" s="2" t="str">
        <f>'Исходные данные'!F55</f>
        <v>InfraRoad Maintenance</v>
      </c>
      <c r="G55" s="2" t="str">
        <f>'Исходные данные'!G55</f>
        <v>Высокая</v>
      </c>
      <c r="H55" s="2" t="str">
        <f>'Исходные данные'!H55</f>
        <v>SHM-053</v>
      </c>
      <c r="I55" s="2" t="str">
        <f t="shared" si="1"/>
        <v>OK</v>
      </c>
      <c r="J55" s="2"/>
      <c r="K55" s="2"/>
      <c r="L55" s="2"/>
    </row>
    <row r="56" spans="1:12" ht="28.3">
      <c r="A56" s="2">
        <f>'Исходные данные'!A56</f>
        <v>54</v>
      </c>
      <c r="B56" s="2" t="str">
        <f>'Исходные данные'!B56</f>
        <v>Южный</v>
      </c>
      <c r="C56" s="4" t="str">
        <f>'Исходные данные'!C56</f>
        <v>Рамный путепровод</v>
      </c>
      <c r="D56" s="4">
        <f>'Исходные данные'!D56</f>
        <v>4.3899999999999997</v>
      </c>
      <c r="E56" s="5">
        <f>'Исходные данные'!E56</f>
        <v>62.8</v>
      </c>
      <c r="F56" s="2" t="str">
        <f>'Исходные данные'!F56</f>
        <v>City Bridge Service</v>
      </c>
      <c r="G56" s="2" t="str">
        <f>'Исходные данные'!G56</f>
        <v>Средняя</v>
      </c>
      <c r="H56" s="2" t="str">
        <f>'Исходные данные'!H56</f>
        <v>SHM-054</v>
      </c>
      <c r="I56" s="2" t="str">
        <f t="shared" si="1"/>
        <v>OK</v>
      </c>
      <c r="J56" s="2"/>
      <c r="K56" s="2"/>
      <c r="L56" s="2"/>
    </row>
    <row r="57" spans="1:12" ht="28.3">
      <c r="A57" s="2">
        <f>'Исходные данные'!A57</f>
        <v>55</v>
      </c>
      <c r="B57" s="2" t="str">
        <f>'Исходные данные'!B57</f>
        <v>Северный</v>
      </c>
      <c r="C57" s="4" t="str">
        <f>'Исходные данные'!C57</f>
        <v>Стальной балочный</v>
      </c>
      <c r="D57" s="4">
        <f>'Исходные данные'!D57</f>
        <v>2.7</v>
      </c>
      <c r="E57" s="5">
        <f>'Исходные данные'!E57</f>
        <v>32.200000000000003</v>
      </c>
      <c r="F57" s="2" t="str">
        <f>'Исходные данные'!F57</f>
        <v>City Bridge Service</v>
      </c>
      <c r="G57" s="2" t="str">
        <f>'Исходные данные'!G57</f>
        <v>Средняя</v>
      </c>
      <c r="H57" s="2" t="str">
        <f>'Исходные данные'!H57</f>
        <v>SHM-055</v>
      </c>
      <c r="I57" s="2" t="str">
        <f t="shared" si="1"/>
        <v>OK</v>
      </c>
      <c r="J57" s="2"/>
      <c r="K57" s="2"/>
      <c r="L57" s="2"/>
    </row>
    <row r="58" spans="1:12" ht="28.3">
      <c r="A58" s="2">
        <f>'Исходные данные'!A58</f>
        <v>56</v>
      </c>
      <c r="B58" s="2" t="str">
        <f>'Исходные данные'!B58</f>
        <v>Центральный</v>
      </c>
      <c r="C58" s="4" t="str">
        <f>'Исходные данные'!C58</f>
        <v>Железобетонный балочный</v>
      </c>
      <c r="D58" s="4">
        <f>'Исходные данные'!D58</f>
        <v>2.48</v>
      </c>
      <c r="E58" s="5">
        <f>'Исходные данные'!E58</f>
        <v>37.1</v>
      </c>
      <c r="F58" s="2" t="str">
        <f>'Исходные данные'!F58</f>
        <v>Urban Structures Unit</v>
      </c>
      <c r="G58" s="2" t="str">
        <f>'Исходные данные'!G58</f>
        <v>Низкая</v>
      </c>
      <c r="H58" s="2" t="str">
        <f>'Исходные данные'!H58</f>
        <v>SHM-056</v>
      </c>
      <c r="I58" s="2" t="str">
        <f t="shared" si="1"/>
        <v>OK</v>
      </c>
      <c r="J58" s="2"/>
      <c r="K58" s="2"/>
      <c r="L58" s="2"/>
    </row>
    <row r="59" spans="1:12" ht="28.3">
      <c r="A59" s="2">
        <f>'Исходные данные'!A59</f>
        <v>57</v>
      </c>
      <c r="B59" s="2" t="str">
        <f>'Исходные данные'!B59</f>
        <v>Центральный</v>
      </c>
      <c r="C59" s="4" t="str">
        <f>'Исходные данные'!C59</f>
        <v>Коробчатый железобетонный</v>
      </c>
      <c r="D59" s="4">
        <f>'Исходные данные'!D59</f>
        <v>2.2999999999999998</v>
      </c>
      <c r="E59" s="5">
        <f>'Исходные данные'!E59</f>
        <v>38.4</v>
      </c>
      <c r="F59" s="2" t="str">
        <f>'Исходные данные'!F59</f>
        <v>InfraRoad Maintenance</v>
      </c>
      <c r="G59" s="2" t="str">
        <f>'Исходные данные'!G59</f>
        <v>Низкая</v>
      </c>
      <c r="H59" s="2" t="str">
        <f>'Исходные данные'!H59</f>
        <v>SHM-057</v>
      </c>
      <c r="I59" s="2" t="str">
        <f t="shared" si="1"/>
        <v>OK</v>
      </c>
      <c r="J59" s="2"/>
      <c r="K59" s="2"/>
      <c r="L59" s="2"/>
    </row>
    <row r="60" spans="1:12" ht="28.3">
      <c r="A60" s="2">
        <f>'Исходные данные'!A60</f>
        <v>58</v>
      </c>
      <c r="B60" s="2" t="str">
        <f>'Исходные данные'!B60</f>
        <v>Промышленный</v>
      </c>
      <c r="C60" s="4" t="str">
        <f>'Исходные данные'!C60</f>
        <v>Арочный стальной</v>
      </c>
      <c r="D60" s="4">
        <f>'Исходные данные'!D60</f>
        <v>5.41</v>
      </c>
      <c r="E60" s="5">
        <f>'Исходные данные'!E60</f>
        <v>49.6</v>
      </c>
      <c r="F60" s="2" t="str">
        <f>'Исходные данные'!F60</f>
        <v>City Bridge Service</v>
      </c>
      <c r="G60" s="2" t="str">
        <f>'Исходные данные'!G60</f>
        <v>Высокая</v>
      </c>
      <c r="H60" s="2" t="str">
        <f>'Исходные данные'!H60</f>
        <v>SHM-058</v>
      </c>
      <c r="I60" s="2" t="str">
        <f t="shared" si="1"/>
        <v>OK</v>
      </c>
      <c r="J60" s="2"/>
      <c r="K60" s="2"/>
      <c r="L60" s="2"/>
    </row>
    <row r="61" spans="1:12">
      <c r="A61" s="2">
        <f>'Исходные данные'!A61</f>
        <v>59</v>
      </c>
      <c r="B61" s="2" t="str">
        <f>'Исходные данные'!B61</f>
        <v>Западный</v>
      </c>
      <c r="C61" s="4" t="str">
        <f>'Исходные данные'!C61</f>
        <v>Вантовый</v>
      </c>
      <c r="D61" s="4">
        <f>'Исходные данные'!D61</f>
        <v>4.29</v>
      </c>
      <c r="E61" s="5">
        <f>'Исходные данные'!E61</f>
        <v>55.9</v>
      </c>
      <c r="F61" s="2" t="str">
        <f>'Исходные данные'!F61</f>
        <v>Urban Structures Unit</v>
      </c>
      <c r="G61" s="2" t="str">
        <f>'Исходные данные'!G61</f>
        <v>Средняя</v>
      </c>
      <c r="H61" s="2" t="str">
        <f>'Исходные данные'!H61</f>
        <v>SHM-059</v>
      </c>
      <c r="I61" s="2" t="str">
        <f t="shared" si="1"/>
        <v>OK</v>
      </c>
      <c r="J61" s="2"/>
      <c r="K61" s="2"/>
      <c r="L61" s="2"/>
    </row>
    <row r="62" spans="1:12" ht="28.3">
      <c r="A62" s="2">
        <f>'Исходные данные'!A62</f>
        <v>60</v>
      </c>
      <c r="B62" s="2" t="str">
        <f>'Исходные данные'!B62</f>
        <v>Восточный</v>
      </c>
      <c r="C62" s="4" t="str">
        <f>'Исходные данные'!C62</f>
        <v>Рамный путепровод</v>
      </c>
      <c r="D62" s="4">
        <f>'Исходные данные'!D62</f>
        <v>5.5</v>
      </c>
      <c r="E62" s="5">
        <f>'Исходные данные'!E62</f>
        <v>64</v>
      </c>
      <c r="F62" s="2" t="str">
        <f>'Исходные данные'!F62</f>
        <v>InfraRoad Maintenance</v>
      </c>
      <c r="G62" s="2" t="str">
        <f>'Исходные данные'!G62</f>
        <v>Высокая</v>
      </c>
      <c r="H62" s="2" t="str">
        <f>'Исходные данные'!H62</f>
        <v>SHM-060</v>
      </c>
      <c r="I62" s="2" t="str">
        <f t="shared" si="1"/>
        <v>OK</v>
      </c>
      <c r="J62" s="2"/>
      <c r="K62" s="2"/>
      <c r="L62" s="2"/>
    </row>
  </sheetData>
  <mergeCells count="1">
    <mergeCell ref="A1:I1"/>
  </mergeCells>
  <conditionalFormatting sqref="G3:G62">
    <cfRule type="expression" dxfId="2" priority="1">
      <formula>G3="Соответствует"</formula>
    </cfRule>
    <cfRule type="expression" dxfId="1" priority="2">
      <formula>G3="Не соответствует"</formula>
    </cfRule>
  </conditionalFormatting>
  <conditionalFormatting sqref="I3:I62">
    <cfRule type="expression" dxfId="0" priority="3">
      <formula>I3="Пропуск"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6"/>
  <sheetViews>
    <sheetView workbookViewId="0"/>
  </sheetViews>
  <sheetFormatPr defaultRowHeight="14.15"/>
  <cols>
    <col min="1" max="1" width="43.140625" customWidth="1"/>
    <col min="2" max="2" width="14.7109375" customWidth="1"/>
    <col min="3" max="3" width="20.5" customWidth="1"/>
    <col min="4" max="4" width="11.640625" customWidth="1"/>
    <col min="6" max="6" width="13.5" customWidth="1"/>
    <col min="7" max="7" width="20.5" customWidth="1"/>
    <col min="9" max="10" width="18" customWidth="1"/>
  </cols>
  <sheetData>
    <row r="1" spans="1:10" ht="16" customHeight="1">
      <c r="A1" s="6" t="s">
        <v>192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1</v>
      </c>
      <c r="B3" s="1" t="s">
        <v>154</v>
      </c>
      <c r="C3" s="2"/>
      <c r="D3" s="2"/>
      <c r="E3" s="2"/>
      <c r="F3" s="2"/>
      <c r="G3" s="2"/>
      <c r="H3" s="2"/>
      <c r="I3" s="2"/>
      <c r="J3" s="2"/>
    </row>
    <row r="4" spans="1:10">
      <c r="A4" s="2" t="s">
        <v>193</v>
      </c>
      <c r="B4" s="2">
        <f>COUNT('Исходные данные'!A3:A62)</f>
        <v>60</v>
      </c>
      <c r="C4" s="2"/>
      <c r="D4" s="2"/>
      <c r="E4" s="2"/>
      <c r="F4" s="2"/>
      <c r="G4" s="2"/>
      <c r="H4" s="2"/>
      <c r="I4" s="2"/>
      <c r="J4" s="2"/>
    </row>
    <row r="5" spans="1:10">
      <c r="A5" s="2" t="s">
        <v>194</v>
      </c>
      <c r="B5" s="4">
        <f>AVERAGE(Обработка!E3:E62)</f>
        <v>50.323333333333316</v>
      </c>
      <c r="C5" s="2"/>
      <c r="D5" s="2"/>
      <c r="E5" s="2"/>
      <c r="F5" s="2"/>
      <c r="G5" s="2"/>
      <c r="H5" s="2"/>
      <c r="I5" s="2"/>
      <c r="J5" s="2"/>
    </row>
    <row r="6" spans="1:10">
      <c r="A6" s="2" t="s">
        <v>195</v>
      </c>
      <c r="B6" s="4">
        <f>AVERAGE(Обработка!D3:D62)</f>
        <v>3.9998333333333331</v>
      </c>
      <c r="C6" s="2"/>
      <c r="D6" s="2"/>
      <c r="E6" s="2"/>
      <c r="F6" s="2"/>
      <c r="G6" s="2"/>
      <c r="H6" s="2"/>
      <c r="I6" s="2"/>
      <c r="J6" s="2"/>
    </row>
    <row r="7" spans="1:10">
      <c r="A7" s="2" t="s">
        <v>196</v>
      </c>
      <c r="B7" s="4">
        <f>MAX(Обработка!E3:E62)</f>
        <v>77.7</v>
      </c>
      <c r="C7" s="2"/>
      <c r="D7" s="2"/>
      <c r="E7" s="2"/>
      <c r="F7" s="2"/>
      <c r="G7" s="2"/>
      <c r="H7" s="2"/>
      <c r="I7" s="2"/>
      <c r="J7" s="2"/>
    </row>
    <row r="8" spans="1:10">
      <c r="A8" s="2" t="s">
        <v>197</v>
      </c>
      <c r="B8" s="4">
        <f>MAX(Обработка!D3:D62)</f>
        <v>6.24</v>
      </c>
      <c r="C8" s="2"/>
      <c r="D8" s="2"/>
      <c r="E8" s="2"/>
      <c r="F8" s="2"/>
      <c r="G8" s="2"/>
      <c r="H8" s="2"/>
      <c r="I8" s="2"/>
      <c r="J8" s="2"/>
    </row>
    <row r="9" spans="1:10">
      <c r="A9" s="2" t="s">
        <v>198</v>
      </c>
      <c r="B9" s="4">
        <f>COUNTIF('Исходные данные'!G3:G62,"Высокая")</f>
        <v>16</v>
      </c>
      <c r="C9" s="2"/>
      <c r="D9" s="2"/>
      <c r="E9" s="2"/>
      <c r="F9" s="2"/>
      <c r="G9" s="2"/>
      <c r="H9" s="2"/>
      <c r="I9" s="2"/>
      <c r="J9" s="2"/>
    </row>
    <row r="10" spans="1:10">
      <c r="A10" s="2" t="s">
        <v>199</v>
      </c>
      <c r="B10" s="4">
        <f>COUNTIF('Исходные данные'!G3:G62,"Средняя")</f>
        <v>40</v>
      </c>
      <c r="C10" s="2"/>
      <c r="D10" s="2"/>
      <c r="E10" s="2"/>
      <c r="F10" s="2"/>
      <c r="G10" s="2"/>
      <c r="H10" s="2"/>
      <c r="I10" s="2"/>
      <c r="J10" s="2"/>
    </row>
    <row r="11" spans="1:10">
      <c r="A11" s="2" t="s">
        <v>200</v>
      </c>
      <c r="B11" s="2">
        <f>COUNTIF('Исходные данные'!G3:G62,"Низкая")</f>
        <v>4</v>
      </c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28.3">
      <c r="A14" s="1" t="s">
        <v>21</v>
      </c>
      <c r="B14" s="1" t="s">
        <v>201</v>
      </c>
      <c r="C14" s="1" t="s">
        <v>195</v>
      </c>
      <c r="D14" s="1" t="s">
        <v>198</v>
      </c>
      <c r="E14" s="2"/>
      <c r="F14" s="1" t="s">
        <v>20</v>
      </c>
      <c r="G14" s="1" t="s">
        <v>202</v>
      </c>
      <c r="H14" s="2"/>
      <c r="I14" s="1"/>
      <c r="J14" s="1"/>
    </row>
    <row r="15" spans="1:10">
      <c r="A15" s="2" t="s">
        <v>29</v>
      </c>
      <c r="B15" s="4">
        <f>AVERAGEIF(Обработка!$C$3:$C$62,A15,Обработка!$E$3:$E$62)</f>
        <v>34.959999999999994</v>
      </c>
      <c r="C15" s="4">
        <f>AVERAGEIF(Обработка!$C$3:$C$62,A15,Обработка!$D$3:$D$62)</f>
        <v>3.0439999999999996</v>
      </c>
      <c r="D15" s="2">
        <f>COUNTIFS(Обработка!$C$3:$C$62,A15,Обработка!$G$3:$G$62,"Высокая")</f>
        <v>0</v>
      </c>
      <c r="E15" s="2"/>
      <c r="F15" s="2" t="s">
        <v>28</v>
      </c>
      <c r="G15" s="2">
        <f>COUNTIFS(Обработка!$B$3:$B$62,F15,Обработка!$G$3:$G$62,"Высокая")</f>
        <v>4</v>
      </c>
      <c r="H15" s="2"/>
      <c r="I15" s="2"/>
      <c r="J15" s="2"/>
    </row>
    <row r="16" spans="1:10">
      <c r="A16" s="2" t="s">
        <v>33</v>
      </c>
      <c r="B16" s="4">
        <f>AVERAGEIF(Обработка!$C$3:$C$62,A16,Обработка!$E$3:$E$62)</f>
        <v>38.53</v>
      </c>
      <c r="C16" s="4">
        <f>AVERAGEIF(Обработка!$C$3:$C$62,A16,Обработка!$D$3:$D$62)</f>
        <v>2.8279999999999998</v>
      </c>
      <c r="D16" s="2">
        <f>COUNTIFS(Обработка!$C$3:$C$62,A16,Обработка!$G$3:$G$62,"Высокая")</f>
        <v>0</v>
      </c>
      <c r="E16" s="2"/>
      <c r="F16" s="2" t="s">
        <v>48</v>
      </c>
      <c r="G16" s="2">
        <f>COUNTIFS(Обработка!$B$3:$B$62,F16,Обработка!$G$3:$G$62,"Высокая")</f>
        <v>1</v>
      </c>
      <c r="H16" s="2"/>
      <c r="I16" s="2"/>
      <c r="J16" s="2"/>
    </row>
    <row r="17" spans="1:10">
      <c r="A17" s="2" t="s">
        <v>37</v>
      </c>
      <c r="B17" s="4">
        <f>AVERAGEIF(Обработка!$C$3:$C$62,A17,Обработка!$E$3:$E$62)</f>
        <v>45.37</v>
      </c>
      <c r="C17" s="4">
        <f>AVERAGEIF(Обработка!$C$3:$C$62,A17,Обработка!$D$3:$D$62)</f>
        <v>3.3909999999999996</v>
      </c>
      <c r="D17" s="2">
        <f>COUNTIFS(Обработка!$C$3:$C$62,A17,Обработка!$G$3:$G$62,"Высокая")</f>
        <v>0</v>
      </c>
      <c r="E17" s="2"/>
      <c r="F17" s="2" t="s">
        <v>45</v>
      </c>
      <c r="G17" s="2">
        <f>COUNTIFS(Обработка!$B$3:$B$62,F17,Обработка!$G$3:$G$62,"Высокая")</f>
        <v>1</v>
      </c>
      <c r="H17" s="2"/>
      <c r="I17" s="2"/>
      <c r="J17" s="2"/>
    </row>
    <row r="18" spans="1:10">
      <c r="A18" s="2" t="s">
        <v>41</v>
      </c>
      <c r="B18" s="4">
        <f>AVERAGEIF(Обработка!$C$3:$C$62,A18,Обработка!$E$3:$E$62)</f>
        <v>57.21</v>
      </c>
      <c r="C18" s="4">
        <f>AVERAGEIF(Обработка!$C$3:$C$62,A18,Обработка!$D$3:$D$62)</f>
        <v>4.6620000000000008</v>
      </c>
      <c r="D18" s="2">
        <f>COUNTIFS(Обработка!$C$3:$C$62,A18,Обработка!$G$3:$G$62,"Высокая")</f>
        <v>4</v>
      </c>
      <c r="E18" s="2"/>
      <c r="F18" s="2" t="s">
        <v>40</v>
      </c>
      <c r="G18" s="2">
        <f>COUNTIFS(Обработка!$B$3:$B$62,F18,Обработка!$G$3:$G$62,"Высокая")</f>
        <v>4</v>
      </c>
      <c r="H18" s="2"/>
      <c r="I18" s="2"/>
      <c r="J18" s="2"/>
    </row>
    <row r="19" spans="1:10">
      <c r="A19" s="2" t="s">
        <v>43</v>
      </c>
      <c r="B19" s="4">
        <f>AVERAGEIF(Обработка!$C$3:$C$62,A19,Обработка!$E$3:$E$62)</f>
        <v>62.260000000000005</v>
      </c>
      <c r="C19" s="4">
        <f>AVERAGEIF(Обработка!$C$3:$C$62,A19,Обработка!$D$3:$D$62)</f>
        <v>5.1849999999999996</v>
      </c>
      <c r="D19" s="2">
        <f>COUNTIFS(Обработка!$C$3:$C$62,A19,Обработка!$G$3:$G$62,"Высокая")</f>
        <v>7</v>
      </c>
      <c r="E19" s="2"/>
      <c r="F19" s="2" t="s">
        <v>36</v>
      </c>
      <c r="G19" s="2">
        <f>COUNTIFS(Обработка!$B$3:$B$62,F19,Обработка!$G$3:$G$62,"Высокая")</f>
        <v>2</v>
      </c>
      <c r="H19" s="2"/>
      <c r="I19" s="2"/>
      <c r="J19" s="2"/>
    </row>
    <row r="20" spans="1:10" ht="28.3">
      <c r="A20" s="2" t="s">
        <v>46</v>
      </c>
      <c r="B20" s="4">
        <f>AVERAGEIF(Обработка!$C$3:$C$62,A20,Обработка!$E$3:$E$62)</f>
        <v>63.609999999999992</v>
      </c>
      <c r="C20" s="4">
        <f>AVERAGEIF(Обработка!$C$3:$C$62,A20,Обработка!$D$3:$D$62)</f>
        <v>4.8890000000000002</v>
      </c>
      <c r="D20" s="2">
        <f>COUNTIFS(Обработка!$C$3:$C$62,A20,Обработка!$G$3:$G$62,"Высокая")</f>
        <v>5</v>
      </c>
      <c r="E20" s="2"/>
      <c r="F20" s="2" t="s">
        <v>32</v>
      </c>
      <c r="G20" s="2">
        <f>COUNTIFS(Обработка!$B$3:$B$62,F20,Обработка!$G$3:$G$62,"Высокая")</f>
        <v>4</v>
      </c>
      <c r="H20" s="2"/>
      <c r="I20" s="2"/>
      <c r="J20" s="2"/>
    </row>
    <row r="21" spans="1:10">
      <c r="A21" s="2"/>
      <c r="B21" s="4"/>
      <c r="C21" s="4"/>
      <c r="D21" s="2"/>
      <c r="E21" s="2"/>
      <c r="F21" s="2"/>
      <c r="G21" s="2"/>
      <c r="H21" s="2"/>
      <c r="I21" s="2"/>
      <c r="J21" s="2"/>
    </row>
    <row r="22" spans="1:10">
      <c r="A22" s="2"/>
      <c r="B22" s="4"/>
      <c r="C22" s="4"/>
      <c r="D22" s="2"/>
      <c r="E22" s="2"/>
      <c r="F22" s="2"/>
      <c r="G22" s="2"/>
      <c r="H22" s="2"/>
      <c r="I22" s="2"/>
      <c r="J22" s="2"/>
    </row>
    <row r="23" spans="1:10" ht="28.3">
      <c r="A23" s="2" t="s">
        <v>24</v>
      </c>
      <c r="B23" s="4" t="s">
        <v>201</v>
      </c>
      <c r="C23" s="4" t="s">
        <v>195</v>
      </c>
      <c r="D23" s="2" t="s">
        <v>198</v>
      </c>
      <c r="E23" s="2"/>
      <c r="F23" s="2"/>
      <c r="G23" s="2"/>
      <c r="H23" s="2"/>
      <c r="I23" s="2"/>
      <c r="J23" s="2"/>
    </row>
    <row r="24" spans="1:10">
      <c r="A24" s="2" t="s">
        <v>30</v>
      </c>
      <c r="B24" s="4">
        <f>AVERAGEIF(Обработка!$F$3:$F$62,A24,Обработка!$E$3:$E$62)</f>
        <v>47.39500000000001</v>
      </c>
      <c r="C24" s="4">
        <f>AVERAGEIF(Обработка!$F$3:$F$62,A24,Обработка!$D$3:$D$62)</f>
        <v>3.903</v>
      </c>
      <c r="D24" s="2">
        <f>COUNTIFS(Обработка!$F$3:$F$62,A24,Обработка!$G$3:$G$62,"Высокая")</f>
        <v>4</v>
      </c>
      <c r="E24" s="2"/>
      <c r="F24" s="2"/>
      <c r="G24" s="2"/>
      <c r="H24" s="2"/>
      <c r="I24" s="2"/>
      <c r="J24" s="2"/>
    </row>
    <row r="25" spans="1:10">
      <c r="A25" s="2" t="s">
        <v>38</v>
      </c>
      <c r="B25" s="4">
        <f>AVERAGEIF(Обработка!$F$3:$F$62,A25,Обработка!$E$3:$E$62)</f>
        <v>50.720000000000006</v>
      </c>
      <c r="C25" s="4">
        <f>AVERAGEIF(Обработка!$F$3:$F$62,A25,Обработка!$D$3:$D$62)</f>
        <v>3.9489999999999994</v>
      </c>
      <c r="D25" s="2">
        <f>COUNTIFS(Обработка!$F$3:$F$62,A25,Обработка!$G$3:$G$62,"Высокая")</f>
        <v>5</v>
      </c>
      <c r="E25" s="2"/>
      <c r="F25" s="2"/>
      <c r="G25" s="2"/>
      <c r="H25" s="2"/>
      <c r="I25" s="2"/>
      <c r="J25" s="2"/>
    </row>
    <row r="26" spans="1:10">
      <c r="A26" s="2" t="s">
        <v>34</v>
      </c>
      <c r="B26" s="4">
        <f>AVERAGEIF(Обработка!$F$3:$F$62,A26,Обработка!$E$3:$E$62)</f>
        <v>52.855000000000004</v>
      </c>
      <c r="C26" s="4">
        <f>AVERAGEIF(Обработка!$F$3:$F$62,A26,Обработка!$D$3:$D$62)</f>
        <v>4.1475000000000009</v>
      </c>
      <c r="D26" s="2">
        <f>COUNTIFS(Обработка!$F$3:$F$62,A26,Обработка!$G$3:$G$62,"Высокая")</f>
        <v>7</v>
      </c>
      <c r="E26" s="2"/>
      <c r="F26" s="2"/>
      <c r="G26" s="2"/>
      <c r="H26" s="2"/>
      <c r="I26" s="2"/>
      <c r="J26" s="2"/>
    </row>
    <row r="27" spans="1:10">
      <c r="A27" s="2"/>
      <c r="B27" s="4"/>
      <c r="C27" s="4"/>
      <c r="D27" s="2"/>
      <c r="E27" s="2"/>
      <c r="F27" s="2"/>
      <c r="G27" s="2"/>
      <c r="H27" s="2"/>
      <c r="I27" s="2"/>
      <c r="J27" s="2"/>
    </row>
    <row r="28" spans="1:10">
      <c r="A28" s="2"/>
      <c r="B28" s="4"/>
      <c r="C28" s="4"/>
      <c r="D28" s="2"/>
      <c r="E28" s="2"/>
      <c r="F28" s="2"/>
      <c r="G28" s="2"/>
      <c r="H28" s="2"/>
      <c r="I28" s="2"/>
      <c r="J28" s="2"/>
    </row>
    <row r="29" spans="1:10">
      <c r="A29" s="2"/>
      <c r="B29" s="4"/>
      <c r="C29" s="4"/>
      <c r="D29" s="2"/>
      <c r="E29" s="2"/>
      <c r="F29" s="2"/>
      <c r="G29" s="2"/>
      <c r="H29" s="2"/>
      <c r="I29" s="2"/>
      <c r="J29" s="2"/>
    </row>
    <row r="30" spans="1:10">
      <c r="A30" s="2"/>
      <c r="B30" s="4"/>
      <c r="C30" s="4"/>
      <c r="D30" s="2"/>
      <c r="E30" s="2"/>
      <c r="F30" s="2"/>
      <c r="G30" s="2"/>
      <c r="H30" s="2"/>
      <c r="I30" s="2"/>
      <c r="J30" s="2"/>
    </row>
    <row r="31" spans="1:10">
      <c r="A31" s="2"/>
      <c r="B31" s="4"/>
      <c r="C31" s="4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1"/>
      <c r="B33" s="1"/>
      <c r="C33" s="1"/>
      <c r="D33" s="2"/>
      <c r="E33" s="2"/>
      <c r="F33" s="2"/>
      <c r="G33" s="2"/>
      <c r="H33" s="2"/>
      <c r="I33" s="2"/>
      <c r="J33" s="2"/>
    </row>
    <row r="34" spans="1:10">
      <c r="A34" s="2"/>
      <c r="B34" s="4"/>
      <c r="C34" s="4"/>
      <c r="D34" s="2"/>
      <c r="E34" s="2"/>
      <c r="F34" s="2"/>
      <c r="G34" s="2"/>
      <c r="H34" s="2"/>
      <c r="I34" s="2"/>
      <c r="J34" s="2"/>
    </row>
    <row r="35" spans="1:10">
      <c r="A35" s="2"/>
      <c r="B35" s="4"/>
      <c r="C35" s="4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9"/>
  <sheetViews>
    <sheetView workbookViewId="0"/>
  </sheetViews>
  <sheetFormatPr defaultRowHeight="14.15"/>
  <cols>
    <col min="1" max="5" width="23" customWidth="1"/>
    <col min="6" max="6" width="36" customWidth="1"/>
    <col min="7" max="7" width="23" customWidth="1"/>
  </cols>
  <sheetData>
    <row r="1" spans="1:7" ht="16" customHeight="1">
      <c r="A1" s="6" t="s">
        <v>203</v>
      </c>
      <c r="B1" s="6"/>
      <c r="C1" s="6"/>
      <c r="D1" s="6"/>
      <c r="E1" s="6"/>
      <c r="F1" s="6"/>
      <c r="G1" s="6"/>
    </row>
    <row r="2" spans="1:7">
      <c r="A2" s="2"/>
      <c r="B2" s="2"/>
      <c r="C2" s="2"/>
      <c r="D2" s="2"/>
      <c r="E2" s="2"/>
      <c r="F2" s="2"/>
      <c r="G2" s="2"/>
    </row>
    <row r="3" spans="1:7">
      <c r="A3" s="1" t="s">
        <v>204</v>
      </c>
      <c r="B3" s="1" t="s">
        <v>205</v>
      </c>
      <c r="C3" s="1" t="s">
        <v>25</v>
      </c>
      <c r="D3" s="2"/>
      <c r="E3" s="1" t="s">
        <v>206</v>
      </c>
      <c r="F3" s="1" t="s">
        <v>207</v>
      </c>
      <c r="G3" s="1" t="s">
        <v>208</v>
      </c>
    </row>
    <row r="4" spans="1:7">
      <c r="A4" s="2" t="str">
        <f>'Исходные данные'!B3</f>
        <v>Центральный</v>
      </c>
      <c r="B4" s="2">
        <f>IF('Исходные данные'!G3="Высокая",1,0)</f>
        <v>0</v>
      </c>
      <c r="C4" s="2" t="str">
        <f>'Исходные данные'!G3</f>
        <v>Средняя</v>
      </c>
      <c r="D4" s="2"/>
      <c r="E4" s="2" t="s">
        <v>28</v>
      </c>
      <c r="F4" s="2" t="s">
        <v>209</v>
      </c>
      <c r="G4" s="2">
        <f t="shared" ref="G4:G9" si="0">SUMIF($A$4:$A$63,E4,$B$4:$B$63)</f>
        <v>4</v>
      </c>
    </row>
    <row r="5" spans="1:7">
      <c r="A5" s="2" t="str">
        <f>'Исходные данные'!B4</f>
        <v>Промышленный</v>
      </c>
      <c r="B5" s="2">
        <f>IF('Исходные данные'!G4="Высокая",1,0)</f>
        <v>0</v>
      </c>
      <c r="C5" s="2" t="str">
        <f>'Исходные данные'!G4</f>
        <v>Средняя</v>
      </c>
      <c r="D5" s="2"/>
      <c r="E5" s="2" t="s">
        <v>48</v>
      </c>
      <c r="F5" s="2" t="s">
        <v>210</v>
      </c>
      <c r="G5" s="2">
        <f t="shared" si="0"/>
        <v>1</v>
      </c>
    </row>
    <row r="6" spans="1:7">
      <c r="A6" s="2" t="str">
        <f>'Исходные данные'!B5</f>
        <v>Западный</v>
      </c>
      <c r="B6" s="2">
        <f>IF('Исходные данные'!G5="Высокая",1,0)</f>
        <v>0</v>
      </c>
      <c r="C6" s="2" t="str">
        <f>'Исходные данные'!G5</f>
        <v>Средняя</v>
      </c>
      <c r="D6" s="2"/>
      <c r="E6" s="2" t="s">
        <v>45</v>
      </c>
      <c r="F6" s="2" t="s">
        <v>211</v>
      </c>
      <c r="G6" s="2">
        <f t="shared" si="0"/>
        <v>1</v>
      </c>
    </row>
    <row r="7" spans="1:7">
      <c r="A7" s="2" t="str">
        <f>'Исходные данные'!B6</f>
        <v>Восточный</v>
      </c>
      <c r="B7" s="2">
        <f>IF('Исходные данные'!G6="Высокая",1,0)</f>
        <v>0</v>
      </c>
      <c r="C7" s="2" t="str">
        <f>'Исходные данные'!G6</f>
        <v>Средняя</v>
      </c>
      <c r="D7" s="2"/>
      <c r="E7" s="2" t="s">
        <v>40</v>
      </c>
      <c r="F7" s="2" t="s">
        <v>212</v>
      </c>
      <c r="G7" s="2">
        <f t="shared" si="0"/>
        <v>4</v>
      </c>
    </row>
    <row r="8" spans="1:7">
      <c r="A8" s="2" t="str">
        <f>'Исходные данные'!B7</f>
        <v>Восточный</v>
      </c>
      <c r="B8" s="2">
        <f>IF('Исходные данные'!G7="Высокая",1,0)</f>
        <v>1</v>
      </c>
      <c r="C8" s="2" t="str">
        <f>'Исходные данные'!G7</f>
        <v>Высокая</v>
      </c>
      <c r="D8" s="2"/>
      <c r="E8" s="2" t="s">
        <v>36</v>
      </c>
      <c r="F8" s="2" t="s">
        <v>213</v>
      </c>
      <c r="G8" s="2">
        <f t="shared" si="0"/>
        <v>2</v>
      </c>
    </row>
    <row r="9" spans="1:7">
      <c r="A9" s="2" t="str">
        <f>'Исходные данные'!B8</f>
        <v>Южный</v>
      </c>
      <c r="B9" s="2">
        <f>IF('Исходные данные'!G8="Высокая",1,0)</f>
        <v>0</v>
      </c>
      <c r="C9" s="2" t="str">
        <f>'Исходные данные'!G8</f>
        <v>Средняя</v>
      </c>
      <c r="D9" s="2"/>
      <c r="E9" s="2" t="s">
        <v>32</v>
      </c>
      <c r="F9" s="2" t="s">
        <v>214</v>
      </c>
      <c r="G9" s="2">
        <f t="shared" si="0"/>
        <v>4</v>
      </c>
    </row>
    <row r="10" spans="1:7">
      <c r="A10" s="2" t="str">
        <f>'Исходные данные'!B9</f>
        <v>Северный</v>
      </c>
      <c r="B10" s="2">
        <f>IF('Исходные данные'!G9="Высокая",1,0)</f>
        <v>0</v>
      </c>
      <c r="C10" s="2" t="str">
        <f>'Исходные данные'!G9</f>
        <v>Средняя</v>
      </c>
      <c r="D10" s="2"/>
      <c r="E10" s="2"/>
      <c r="F10" s="2"/>
      <c r="G10" s="2"/>
    </row>
    <row r="11" spans="1:7">
      <c r="A11" s="2" t="str">
        <f>'Исходные данные'!B10</f>
        <v>Центральный</v>
      </c>
      <c r="B11" s="2">
        <f>IF('Исходные данные'!G10="Высокая",1,0)</f>
        <v>0</v>
      </c>
      <c r="C11" s="2" t="str">
        <f>'Исходные данные'!G10</f>
        <v>Средняя</v>
      </c>
      <c r="D11" s="2"/>
      <c r="E11" s="2"/>
      <c r="F11" s="2"/>
      <c r="G11" s="2"/>
    </row>
    <row r="12" spans="1:7">
      <c r="A12" s="2" t="str">
        <f>'Исходные данные'!B11</f>
        <v>Центральный</v>
      </c>
      <c r="B12" s="2">
        <f>IF('Исходные данные'!G11="Высокая",1,0)</f>
        <v>0</v>
      </c>
      <c r="C12" s="2" t="str">
        <f>'Исходные данные'!G11</f>
        <v>Средняя</v>
      </c>
      <c r="D12" s="2"/>
      <c r="E12" s="2"/>
      <c r="F12" s="2"/>
      <c r="G12" s="2"/>
    </row>
    <row r="13" spans="1:7">
      <c r="A13" s="2" t="str">
        <f>'Исходные данные'!B12</f>
        <v>Промышленный</v>
      </c>
      <c r="B13" s="2">
        <f>IF('Исходные данные'!G12="Высокая",1,0)</f>
        <v>0</v>
      </c>
      <c r="C13" s="2" t="str">
        <f>'Исходные данные'!G12</f>
        <v>Средняя</v>
      </c>
      <c r="D13" s="2"/>
      <c r="E13" s="2"/>
      <c r="F13" s="2"/>
      <c r="G13" s="2"/>
    </row>
    <row r="14" spans="1:7">
      <c r="A14" s="2" t="str">
        <f>'Исходные данные'!B13</f>
        <v>Западный</v>
      </c>
      <c r="B14" s="2">
        <f>IF('Исходные данные'!G13="Высокая",1,0)</f>
        <v>1</v>
      </c>
      <c r="C14" s="2" t="str">
        <f>'Исходные данные'!G13</f>
        <v>Высокая</v>
      </c>
      <c r="D14" s="2"/>
      <c r="E14" s="2"/>
      <c r="F14" s="2"/>
      <c r="G14" s="2"/>
    </row>
    <row r="15" spans="1:7">
      <c r="A15" s="2" t="str">
        <f>'Исходные данные'!B14</f>
        <v>Восточный</v>
      </c>
      <c r="B15" s="2">
        <f>IF('Исходные данные'!G14="Высокая",1,0)</f>
        <v>0</v>
      </c>
      <c r="C15" s="2" t="str">
        <f>'Исходные данные'!G14</f>
        <v>Средняя</v>
      </c>
      <c r="D15" s="2"/>
      <c r="E15" s="2"/>
      <c r="F15" s="2"/>
      <c r="G15" s="2"/>
    </row>
    <row r="16" spans="1:7">
      <c r="A16" s="2" t="str">
        <f>'Исходные данные'!B15</f>
        <v>Восточный</v>
      </c>
      <c r="B16" s="2">
        <f>IF('Исходные данные'!G15="Высокая",1,0)</f>
        <v>0</v>
      </c>
      <c r="C16" s="2" t="str">
        <f>'Исходные данные'!G15</f>
        <v>Средняя</v>
      </c>
      <c r="D16" s="2"/>
      <c r="E16" s="2"/>
      <c r="F16" s="2"/>
      <c r="G16" s="2"/>
    </row>
    <row r="17" spans="1:7">
      <c r="A17" s="2" t="str">
        <f>'Исходные данные'!B16</f>
        <v>Южный</v>
      </c>
      <c r="B17" s="2">
        <f>IF('Исходные данные'!G16="Высокая",1,0)</f>
        <v>0</v>
      </c>
      <c r="C17" s="2" t="str">
        <f>'Исходные данные'!G16</f>
        <v>Средняя</v>
      </c>
      <c r="D17" s="2"/>
      <c r="E17" s="2"/>
      <c r="F17" s="2"/>
      <c r="G17" s="2"/>
    </row>
    <row r="18" spans="1:7">
      <c r="A18" s="2" t="str">
        <f>'Исходные данные'!B17</f>
        <v>Северный</v>
      </c>
      <c r="B18" s="2">
        <f>IF('Исходные данные'!G17="Высокая",1,0)</f>
        <v>0</v>
      </c>
      <c r="C18" s="2" t="str">
        <f>'Исходные данные'!G17</f>
        <v>Средняя</v>
      </c>
      <c r="D18" s="2"/>
      <c r="E18" s="2"/>
      <c r="F18" s="2"/>
      <c r="G18" s="2"/>
    </row>
    <row r="19" spans="1:7">
      <c r="A19" s="2" t="str">
        <f>'Исходные данные'!B18</f>
        <v>Центральный</v>
      </c>
      <c r="B19" s="2">
        <f>IF('Исходные данные'!G18="Высокая",1,0)</f>
        <v>0</v>
      </c>
      <c r="C19" s="2" t="str">
        <f>'Исходные данные'!G18</f>
        <v>Средняя</v>
      </c>
      <c r="D19" s="2"/>
      <c r="E19" s="2"/>
      <c r="F19" s="2"/>
      <c r="G19" s="2"/>
    </row>
    <row r="20" spans="1:7">
      <c r="A20" s="2" t="str">
        <f>'Исходные данные'!B19</f>
        <v>Центральный</v>
      </c>
      <c r="B20" s="2">
        <f>IF('Исходные данные'!G19="Высокая",1,0)</f>
        <v>1</v>
      </c>
      <c r="C20" s="2" t="str">
        <f>'Исходные данные'!G19</f>
        <v>Высокая</v>
      </c>
      <c r="D20" s="2"/>
      <c r="E20" s="2"/>
      <c r="F20" s="2"/>
      <c r="G20" s="2"/>
    </row>
    <row r="21" spans="1:7">
      <c r="A21" s="2" t="str">
        <f>'Исходные данные'!B20</f>
        <v>Промышленный</v>
      </c>
      <c r="B21" s="2">
        <f>IF('Исходные данные'!G20="Высокая",1,0)</f>
        <v>1</v>
      </c>
      <c r="C21" s="2" t="str">
        <f>'Исходные данные'!G20</f>
        <v>Высокая</v>
      </c>
      <c r="D21" s="2"/>
      <c r="E21" s="2"/>
      <c r="F21" s="2"/>
      <c r="G21" s="2"/>
    </row>
    <row r="22" spans="1:7">
      <c r="A22" s="2" t="str">
        <f>'Исходные данные'!B21</f>
        <v>Западный</v>
      </c>
      <c r="B22" s="2">
        <f>IF('Исходные данные'!G21="Высокая",1,0)</f>
        <v>0</v>
      </c>
      <c r="C22" s="2" t="str">
        <f>'Исходные данные'!G21</f>
        <v>Средняя</v>
      </c>
      <c r="D22" s="2"/>
      <c r="E22" s="2"/>
      <c r="F22" s="2"/>
      <c r="G22" s="2"/>
    </row>
    <row r="23" spans="1:7">
      <c r="A23" s="2" t="str">
        <f>'Исходные данные'!B22</f>
        <v>Восточный</v>
      </c>
      <c r="B23" s="2">
        <f>IF('Исходные данные'!G22="Высокая",1,0)</f>
        <v>0</v>
      </c>
      <c r="C23" s="2" t="str">
        <f>'Исходные данные'!G22</f>
        <v>Средняя</v>
      </c>
      <c r="D23" s="2"/>
      <c r="E23" s="2"/>
      <c r="F23" s="2"/>
      <c r="G23" s="2"/>
    </row>
    <row r="24" spans="1:7">
      <c r="A24" s="2" t="str">
        <f>'Исходные данные'!B23</f>
        <v>Восточный</v>
      </c>
      <c r="B24" s="2">
        <f>IF('Исходные данные'!G23="Высокая",1,0)</f>
        <v>0</v>
      </c>
      <c r="C24" s="2" t="str">
        <f>'Исходные данные'!G23</f>
        <v>Средняя</v>
      </c>
      <c r="D24" s="2"/>
      <c r="E24" s="2"/>
      <c r="F24" s="2"/>
      <c r="G24" s="2"/>
    </row>
    <row r="25" spans="1:7">
      <c r="A25" s="2" t="str">
        <f>'Исходные данные'!B24</f>
        <v>Южный</v>
      </c>
      <c r="B25" s="2">
        <f>IF('Исходные данные'!G24="Высокая",1,0)</f>
        <v>0</v>
      </c>
      <c r="C25" s="2" t="str">
        <f>'Исходные данные'!G24</f>
        <v>Средняя</v>
      </c>
      <c r="D25" s="2"/>
      <c r="E25" s="2"/>
      <c r="F25" s="2"/>
      <c r="G25" s="2"/>
    </row>
    <row r="26" spans="1:7">
      <c r="A26" s="2" t="str">
        <f>'Исходные данные'!B25</f>
        <v>Северный</v>
      </c>
      <c r="B26" s="2">
        <f>IF('Исходные данные'!G25="Высокая",1,0)</f>
        <v>1</v>
      </c>
      <c r="C26" s="2" t="str">
        <f>'Исходные данные'!G25</f>
        <v>Высокая</v>
      </c>
      <c r="D26" s="2"/>
      <c r="E26" s="2"/>
      <c r="F26" s="2"/>
      <c r="G26" s="2"/>
    </row>
    <row r="27" spans="1:7">
      <c r="A27" s="2" t="str">
        <f>'Исходные данные'!B26</f>
        <v>Центральный</v>
      </c>
      <c r="B27" s="2">
        <f>IF('Исходные данные'!G26="Высокая",1,0)</f>
        <v>0</v>
      </c>
      <c r="C27" s="2" t="str">
        <f>'Исходные данные'!G26</f>
        <v>Средняя</v>
      </c>
      <c r="D27" s="2"/>
      <c r="E27" s="2"/>
      <c r="F27" s="2"/>
      <c r="G27" s="2"/>
    </row>
    <row r="28" spans="1:7">
      <c r="A28" s="2" t="str">
        <f>'Исходные данные'!B27</f>
        <v>Центральный</v>
      </c>
      <c r="B28" s="2">
        <f>IF('Исходные данные'!G27="Высокая",1,0)</f>
        <v>0</v>
      </c>
      <c r="C28" s="2" t="str">
        <f>'Исходные данные'!G27</f>
        <v>Средняя</v>
      </c>
      <c r="D28" s="2"/>
      <c r="E28" s="2"/>
      <c r="F28" s="2"/>
      <c r="G28" s="2"/>
    </row>
    <row r="29" spans="1:7">
      <c r="A29" s="2" t="str">
        <f>'Исходные данные'!B28</f>
        <v>Промышленный</v>
      </c>
      <c r="B29" s="2">
        <f>IF('Исходные данные'!G28="Высокая",1,0)</f>
        <v>0</v>
      </c>
      <c r="C29" s="2" t="str">
        <f>'Исходные данные'!G28</f>
        <v>Средняя</v>
      </c>
      <c r="D29" s="2"/>
      <c r="E29" s="2"/>
      <c r="F29" s="2"/>
      <c r="G29" s="2"/>
    </row>
    <row r="30" spans="1:7">
      <c r="A30" s="2" t="str">
        <f>'Исходные данные'!B29</f>
        <v>Западный</v>
      </c>
      <c r="B30" s="2">
        <f>IF('Исходные данные'!G29="Высокая",1,0)</f>
        <v>0</v>
      </c>
      <c r="C30" s="2" t="str">
        <f>'Исходные данные'!G29</f>
        <v>Средняя</v>
      </c>
      <c r="D30" s="2"/>
      <c r="E30" s="2"/>
      <c r="F30" s="2"/>
      <c r="G30" s="2"/>
    </row>
    <row r="31" spans="1:7">
      <c r="A31" s="2" t="str">
        <f>'Исходные данные'!B30</f>
        <v>Восточный</v>
      </c>
      <c r="B31" s="2">
        <f>IF('Исходные данные'!G30="Высокая",1,0)</f>
        <v>0</v>
      </c>
      <c r="C31" s="2" t="str">
        <f>'Исходные данные'!G30</f>
        <v>Средняя</v>
      </c>
      <c r="D31" s="2"/>
      <c r="E31" s="2"/>
      <c r="F31" s="2"/>
      <c r="G31" s="2"/>
    </row>
    <row r="32" spans="1:7">
      <c r="A32" s="2" t="str">
        <f>'Исходные данные'!B31</f>
        <v>Восточный</v>
      </c>
      <c r="B32" s="2">
        <f>IF('Исходные данные'!G31="Высокая",1,0)</f>
        <v>0</v>
      </c>
      <c r="C32" s="2" t="str">
        <f>'Исходные данные'!G31</f>
        <v>Средняя</v>
      </c>
      <c r="D32" s="2"/>
      <c r="E32" s="2"/>
      <c r="F32" s="2"/>
      <c r="G32" s="2"/>
    </row>
    <row r="33" spans="1:7">
      <c r="A33" s="2" t="str">
        <f>'Исходные данные'!B32</f>
        <v>Южный</v>
      </c>
      <c r="B33" s="2">
        <f>IF('Исходные данные'!G32="Высокая",1,0)</f>
        <v>1</v>
      </c>
      <c r="C33" s="2" t="str">
        <f>'Исходные данные'!G32</f>
        <v>Высокая</v>
      </c>
      <c r="D33" s="2"/>
      <c r="E33" s="2"/>
      <c r="F33" s="2"/>
      <c r="G33" s="2"/>
    </row>
    <row r="34" spans="1:7">
      <c r="A34" s="2" t="str">
        <f>'Исходные данные'!B33</f>
        <v>Северный</v>
      </c>
      <c r="B34" s="2">
        <f>IF('Исходные данные'!G33="Высокая",1,0)</f>
        <v>0</v>
      </c>
      <c r="C34" s="2" t="str">
        <f>'Исходные данные'!G33</f>
        <v>Средняя</v>
      </c>
      <c r="D34" s="2"/>
      <c r="E34" s="2"/>
      <c r="F34" s="2"/>
      <c r="G34" s="2"/>
    </row>
    <row r="35" spans="1:7">
      <c r="A35" s="2" t="str">
        <f>'Исходные данные'!B34</f>
        <v>Центральный</v>
      </c>
      <c r="B35" s="2">
        <f>IF('Исходные данные'!G34="Высокая",1,0)</f>
        <v>0</v>
      </c>
      <c r="C35" s="2" t="str">
        <f>'Исходные данные'!G34</f>
        <v>Низкая</v>
      </c>
      <c r="D35" s="2"/>
      <c r="E35" s="2"/>
      <c r="F35" s="2"/>
      <c r="G35" s="2"/>
    </row>
    <row r="36" spans="1:7">
      <c r="A36" s="2" t="str">
        <f>'Исходные данные'!B35</f>
        <v>Центральный</v>
      </c>
      <c r="B36" s="2">
        <f>IF('Исходные данные'!G35="Высокая",1,0)</f>
        <v>0</v>
      </c>
      <c r="C36" s="2" t="str">
        <f>'Исходные данные'!G35</f>
        <v>Средняя</v>
      </c>
      <c r="D36" s="2"/>
      <c r="E36" s="2"/>
      <c r="F36" s="2"/>
      <c r="G36" s="2"/>
    </row>
    <row r="37" spans="1:7">
      <c r="A37" s="2" t="str">
        <f>'Исходные данные'!B36</f>
        <v>Промышленный</v>
      </c>
      <c r="B37" s="2">
        <f>IF('Исходные данные'!G36="Высокая",1,0)</f>
        <v>1</v>
      </c>
      <c r="C37" s="2" t="str">
        <f>'Исходные данные'!G36</f>
        <v>Высокая</v>
      </c>
      <c r="D37" s="2"/>
      <c r="E37" s="2"/>
      <c r="F37" s="2"/>
      <c r="G37" s="2"/>
    </row>
    <row r="38" spans="1:7">
      <c r="A38" s="2" t="str">
        <f>'Исходные данные'!B37</f>
        <v>Западный</v>
      </c>
      <c r="B38" s="2">
        <f>IF('Исходные данные'!G37="Высокая",1,0)</f>
        <v>1</v>
      </c>
      <c r="C38" s="2" t="str">
        <f>'Исходные данные'!G37</f>
        <v>Высокая</v>
      </c>
      <c r="D38" s="2"/>
      <c r="E38" s="2"/>
      <c r="F38" s="2"/>
      <c r="G38" s="2"/>
    </row>
    <row r="39" spans="1:7">
      <c r="A39" s="2" t="str">
        <f>'Исходные данные'!B38</f>
        <v>Восточный</v>
      </c>
      <c r="B39" s="2">
        <f>IF('Исходные данные'!G38="Высокая",1,0)</f>
        <v>0</v>
      </c>
      <c r="C39" s="2" t="str">
        <f>'Исходные данные'!G38</f>
        <v>Средняя</v>
      </c>
      <c r="D39" s="2"/>
      <c r="E39" s="2"/>
      <c r="F39" s="2"/>
      <c r="G39" s="2"/>
    </row>
    <row r="40" spans="1:7">
      <c r="A40" s="2" t="str">
        <f>'Исходные данные'!B39</f>
        <v>Восточный</v>
      </c>
      <c r="B40" s="2">
        <f>IF('Исходные данные'!G39="Высокая",1,0)</f>
        <v>0</v>
      </c>
      <c r="C40" s="2" t="str">
        <f>'Исходные данные'!G39</f>
        <v>Средняя</v>
      </c>
      <c r="D40" s="2"/>
      <c r="E40" s="2"/>
      <c r="F40" s="2"/>
      <c r="G40" s="2"/>
    </row>
    <row r="41" spans="1:7">
      <c r="A41" s="2" t="str">
        <f>'Исходные данные'!B40</f>
        <v>Южный</v>
      </c>
      <c r="B41" s="2">
        <f>IF('Исходные данные'!G40="Высокая",1,0)</f>
        <v>0</v>
      </c>
      <c r="C41" s="2" t="str">
        <f>'Исходные данные'!G40</f>
        <v>Средняя</v>
      </c>
      <c r="D41" s="2"/>
      <c r="E41" s="2"/>
      <c r="F41" s="2"/>
      <c r="G41" s="2"/>
    </row>
    <row r="42" spans="1:7">
      <c r="A42" s="2" t="str">
        <f>'Исходные данные'!B41</f>
        <v>Северный</v>
      </c>
      <c r="B42" s="2">
        <f>IF('Исходные данные'!G41="Высокая",1,0)</f>
        <v>0</v>
      </c>
      <c r="C42" s="2" t="str">
        <f>'Исходные данные'!G41</f>
        <v>Средняя</v>
      </c>
      <c r="D42" s="2"/>
      <c r="E42" s="2"/>
      <c r="F42" s="2"/>
      <c r="G42" s="2"/>
    </row>
    <row r="43" spans="1:7">
      <c r="A43" s="2" t="str">
        <f>'Исходные данные'!B42</f>
        <v>Центральный</v>
      </c>
      <c r="B43" s="2">
        <f>IF('Исходные данные'!G42="Высокая",1,0)</f>
        <v>1</v>
      </c>
      <c r="C43" s="2" t="str">
        <f>'Исходные данные'!G42</f>
        <v>Высокая</v>
      </c>
      <c r="D43" s="2"/>
      <c r="E43" s="2"/>
      <c r="F43" s="2"/>
      <c r="G43" s="2"/>
    </row>
    <row r="44" spans="1:7">
      <c r="A44" s="2" t="str">
        <f>'Исходные данные'!B43</f>
        <v>Центральный</v>
      </c>
      <c r="B44" s="2">
        <f>IF('Исходные данные'!G43="Высокая",1,0)</f>
        <v>1</v>
      </c>
      <c r="C44" s="2" t="str">
        <f>'Исходные данные'!G43</f>
        <v>Высокая</v>
      </c>
      <c r="D44" s="2"/>
      <c r="E44" s="2"/>
      <c r="F44" s="2"/>
      <c r="G44" s="2"/>
    </row>
    <row r="45" spans="1:7">
      <c r="A45" s="2" t="str">
        <f>'Исходные данные'!B44</f>
        <v>Промышленный</v>
      </c>
      <c r="B45" s="2">
        <f>IF('Исходные данные'!G44="Высокая",1,0)</f>
        <v>1</v>
      </c>
      <c r="C45" s="2" t="str">
        <f>'Исходные данные'!G44</f>
        <v>Высокая</v>
      </c>
      <c r="D45" s="2"/>
      <c r="E45" s="2"/>
      <c r="F45" s="2"/>
      <c r="G45" s="2"/>
    </row>
    <row r="46" spans="1:7">
      <c r="A46" s="2" t="str">
        <f>'Исходные данные'!B45</f>
        <v>Западный</v>
      </c>
      <c r="B46" s="2">
        <f>IF('Исходные данные'!G45="Высокая",1,0)</f>
        <v>0</v>
      </c>
      <c r="C46" s="2" t="str">
        <f>'Исходные данные'!G45</f>
        <v>Средняя</v>
      </c>
      <c r="D46" s="2"/>
      <c r="E46" s="2"/>
      <c r="F46" s="2"/>
      <c r="G46" s="2"/>
    </row>
    <row r="47" spans="1:7">
      <c r="A47" s="2" t="str">
        <f>'Исходные данные'!B46</f>
        <v>Восточный</v>
      </c>
      <c r="B47" s="2">
        <f>IF('Исходные данные'!G46="Высокая",1,0)</f>
        <v>0</v>
      </c>
      <c r="C47" s="2" t="str">
        <f>'Исходные данные'!G46</f>
        <v>Средняя</v>
      </c>
      <c r="D47" s="2"/>
      <c r="E47" s="2"/>
      <c r="F47" s="2"/>
      <c r="G47" s="2"/>
    </row>
    <row r="48" spans="1:7">
      <c r="A48" s="2" t="str">
        <f>'Исходные данные'!B47</f>
        <v>Восточный</v>
      </c>
      <c r="B48" s="2">
        <f>IF('Исходные данные'!G47="Высокая",1,0)</f>
        <v>0</v>
      </c>
      <c r="C48" s="2" t="str">
        <f>'Исходные данные'!G47</f>
        <v>Средняя</v>
      </c>
      <c r="D48" s="2"/>
      <c r="E48" s="2"/>
      <c r="F48" s="2"/>
      <c r="G48" s="2"/>
    </row>
    <row r="49" spans="1:7">
      <c r="A49" s="2" t="str">
        <f>'Исходные данные'!B48</f>
        <v>Южный</v>
      </c>
      <c r="B49" s="2">
        <f>IF('Исходные данные'!G48="Высокая",1,0)</f>
        <v>0</v>
      </c>
      <c r="C49" s="2" t="str">
        <f>'Исходные данные'!G48</f>
        <v>Средняя</v>
      </c>
      <c r="D49" s="2"/>
      <c r="E49" s="2"/>
      <c r="F49" s="2"/>
      <c r="G49" s="2"/>
    </row>
    <row r="50" spans="1:7">
      <c r="A50" s="2" t="str">
        <f>'Исходные данные'!B49</f>
        <v>Северный</v>
      </c>
      <c r="B50" s="2">
        <f>IF('Исходные данные'!G49="Высокая",1,0)</f>
        <v>0</v>
      </c>
      <c r="C50" s="2" t="str">
        <f>'Исходные данные'!G49</f>
        <v>Средняя</v>
      </c>
      <c r="D50" s="2"/>
      <c r="E50" s="2"/>
      <c r="F50" s="2"/>
      <c r="G50" s="2"/>
    </row>
    <row r="51" spans="1:7">
      <c r="A51" s="2" t="str">
        <f>'Исходные данные'!B50</f>
        <v>Центральный</v>
      </c>
      <c r="B51" s="2">
        <f>IF('Исходные данные'!G50="Высокая",1,0)</f>
        <v>1</v>
      </c>
      <c r="C51" s="2" t="str">
        <f>'Исходные данные'!G50</f>
        <v>Высокая</v>
      </c>
      <c r="D51" s="2"/>
      <c r="E51" s="2"/>
      <c r="F51" s="2"/>
      <c r="G51" s="2"/>
    </row>
    <row r="52" spans="1:7">
      <c r="A52" s="2" t="str">
        <f>'Исходные данные'!B51</f>
        <v>Центральный</v>
      </c>
      <c r="B52" s="2">
        <f>IF('Исходные данные'!G51="Высокая",1,0)</f>
        <v>0</v>
      </c>
      <c r="C52" s="2" t="str">
        <f>'Исходные данные'!G51</f>
        <v>Низкая</v>
      </c>
      <c r="D52" s="2"/>
      <c r="E52" s="2"/>
      <c r="F52" s="2"/>
      <c r="G52" s="2"/>
    </row>
    <row r="53" spans="1:7">
      <c r="A53" s="2" t="str">
        <f>'Исходные данные'!B52</f>
        <v>Промышленный</v>
      </c>
      <c r="B53" s="2">
        <f>IF('Исходные данные'!G52="Высокая",1,0)</f>
        <v>0</v>
      </c>
      <c r="C53" s="2" t="str">
        <f>'Исходные данные'!G52</f>
        <v>Средняя</v>
      </c>
      <c r="D53" s="2"/>
      <c r="E53" s="2"/>
      <c r="F53" s="2"/>
      <c r="G53" s="2"/>
    </row>
    <row r="54" spans="1:7">
      <c r="A54" s="2" t="str">
        <f>'Исходные данные'!B53</f>
        <v>Западный</v>
      </c>
      <c r="B54" s="2">
        <f>IF('Исходные данные'!G53="Высокая",1,0)</f>
        <v>0</v>
      </c>
      <c r="C54" s="2" t="str">
        <f>'Исходные данные'!G53</f>
        <v>Средняя</v>
      </c>
      <c r="D54" s="2"/>
      <c r="E54" s="2"/>
      <c r="F54" s="2"/>
      <c r="G54" s="2"/>
    </row>
    <row r="55" spans="1:7">
      <c r="A55" s="2" t="str">
        <f>'Исходные данные'!B54</f>
        <v>Восточный</v>
      </c>
      <c r="B55" s="2">
        <f>IF('Исходные данные'!G54="Высокая",1,0)</f>
        <v>1</v>
      </c>
      <c r="C55" s="2" t="str">
        <f>'Исходные данные'!G54</f>
        <v>Высокая</v>
      </c>
      <c r="D55" s="2"/>
      <c r="E55" s="2"/>
      <c r="F55" s="2"/>
      <c r="G55" s="2"/>
    </row>
    <row r="56" spans="1:7">
      <c r="A56" s="2" t="str">
        <f>'Исходные данные'!B55</f>
        <v>Восточный</v>
      </c>
      <c r="B56" s="2">
        <f>IF('Исходные данные'!G55="Высокая",1,0)</f>
        <v>1</v>
      </c>
      <c r="C56" s="2" t="str">
        <f>'Исходные данные'!G55</f>
        <v>Высокая</v>
      </c>
      <c r="D56" s="2"/>
      <c r="E56" s="2"/>
      <c r="F56" s="2"/>
      <c r="G56" s="2"/>
    </row>
    <row r="57" spans="1:7">
      <c r="A57" s="2" t="str">
        <f>'Исходные данные'!B56</f>
        <v>Южный</v>
      </c>
      <c r="B57" s="2">
        <f>IF('Исходные данные'!G56="Высокая",1,0)</f>
        <v>0</v>
      </c>
      <c r="C57" s="2" t="str">
        <f>'Исходные данные'!G56</f>
        <v>Средняя</v>
      </c>
      <c r="D57" s="2"/>
      <c r="E57" s="2"/>
      <c r="F57" s="2"/>
      <c r="G57" s="2"/>
    </row>
    <row r="58" spans="1:7">
      <c r="A58" s="2" t="str">
        <f>'Исходные данные'!B57</f>
        <v>Северный</v>
      </c>
      <c r="B58" s="2">
        <f>IF('Исходные данные'!G57="Высокая",1,0)</f>
        <v>0</v>
      </c>
      <c r="C58" s="2" t="str">
        <f>'Исходные данные'!G57</f>
        <v>Средняя</v>
      </c>
      <c r="D58" s="2"/>
      <c r="E58" s="2"/>
      <c r="F58" s="2"/>
      <c r="G58" s="2"/>
    </row>
    <row r="59" spans="1:7">
      <c r="A59" s="2" t="str">
        <f>'Исходные данные'!B58</f>
        <v>Центральный</v>
      </c>
      <c r="B59" s="2">
        <f>IF('Исходные данные'!G58="Высокая",1,0)</f>
        <v>0</v>
      </c>
      <c r="C59" s="2" t="str">
        <f>'Исходные данные'!G58</f>
        <v>Низкая</v>
      </c>
      <c r="D59" s="2"/>
      <c r="E59" s="2"/>
      <c r="F59" s="2"/>
      <c r="G59" s="2"/>
    </row>
    <row r="60" spans="1:7">
      <c r="A60" s="2" t="str">
        <f>'Исходные данные'!B59</f>
        <v>Центральный</v>
      </c>
      <c r="B60" s="2">
        <f>IF('Исходные данные'!G59="Высокая",1,0)</f>
        <v>0</v>
      </c>
      <c r="C60" s="2" t="str">
        <f>'Исходные данные'!G59</f>
        <v>Низкая</v>
      </c>
      <c r="D60" s="2"/>
      <c r="E60" s="2"/>
      <c r="F60" s="2"/>
      <c r="G60" s="2"/>
    </row>
    <row r="61" spans="1:7">
      <c r="A61" s="2" t="str">
        <f>'Исходные данные'!B60</f>
        <v>Промышленный</v>
      </c>
      <c r="B61" s="2">
        <f>IF('Исходные данные'!G60="Высокая",1,0)</f>
        <v>1</v>
      </c>
      <c r="C61" s="2" t="str">
        <f>'Исходные данные'!G60</f>
        <v>Высокая</v>
      </c>
      <c r="D61" s="2"/>
      <c r="E61" s="2"/>
      <c r="F61" s="2"/>
      <c r="G61" s="2"/>
    </row>
    <row r="62" spans="1:7">
      <c r="A62" s="2" t="str">
        <f>'Исходные данные'!B61</f>
        <v>Западный</v>
      </c>
      <c r="B62" s="2">
        <f>IF('Исходные данные'!G61="Высокая",1,0)</f>
        <v>0</v>
      </c>
      <c r="C62" s="2" t="str">
        <f>'Исходные данные'!G61</f>
        <v>Средняя</v>
      </c>
      <c r="D62" s="2"/>
      <c r="E62" s="2"/>
      <c r="F62" s="2"/>
      <c r="G62" s="2"/>
    </row>
    <row r="63" spans="1:7">
      <c r="A63" s="2" t="str">
        <f>'Исходные данные'!B62</f>
        <v>Восточный</v>
      </c>
      <c r="B63" s="2">
        <f>IF('Исходные данные'!G62="Высокая",1,0)</f>
        <v>1</v>
      </c>
      <c r="C63" s="2" t="str">
        <f>'Исходные данные'!G62</f>
        <v>Высокая</v>
      </c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8"/>
      <c r="B66" s="8"/>
      <c r="C66" s="8"/>
      <c r="D66" s="8"/>
      <c r="E66" s="8"/>
      <c r="F66" s="8"/>
      <c r="G66" s="8"/>
    </row>
    <row r="67" spans="1:7">
      <c r="A67" s="8"/>
      <c r="B67" s="8"/>
      <c r="C67" s="8"/>
      <c r="D67" s="8"/>
      <c r="E67" s="8"/>
      <c r="F67" s="8"/>
      <c r="G67" s="8"/>
    </row>
    <row r="68" spans="1:7">
      <c r="A68" s="8"/>
      <c r="B68" s="8"/>
      <c r="C68" s="8"/>
      <c r="D68" s="8"/>
      <c r="E68" s="8"/>
      <c r="F68" s="8"/>
      <c r="G68" s="8"/>
    </row>
    <row r="69" spans="1:7">
      <c r="A69" s="8"/>
      <c r="B69" s="8"/>
      <c r="C69" s="8"/>
      <c r="D69" s="8"/>
      <c r="E69" s="8"/>
      <c r="F69" s="8"/>
      <c r="G69" s="8"/>
    </row>
  </sheetData>
  <mergeCells count="2">
    <mergeCell ref="A1:G1"/>
    <mergeCell ref="A66:G6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5"/>
  <sheetViews>
    <sheetView workbookViewId="0"/>
  </sheetViews>
  <sheetFormatPr defaultRowHeight="14.15"/>
  <cols>
    <col min="1" max="6" width="27" customWidth="1"/>
  </cols>
  <sheetData>
    <row r="1" spans="1:6" ht="16" customHeight="1">
      <c r="A1" s="6" t="s">
        <v>215</v>
      </c>
      <c r="B1" s="6"/>
      <c r="C1" s="6"/>
      <c r="D1" s="6"/>
      <c r="E1" s="6"/>
      <c r="F1" s="6"/>
    </row>
    <row r="2" spans="1:6">
      <c r="A2" s="2"/>
      <c r="B2" s="2"/>
      <c r="C2" s="2"/>
      <c r="D2" s="2"/>
      <c r="E2" s="2"/>
      <c r="F2" s="2"/>
    </row>
    <row r="3" spans="1:6">
      <c r="A3" s="1" t="s">
        <v>216</v>
      </c>
      <c r="B3" s="1" t="s">
        <v>217</v>
      </c>
      <c r="C3" s="1" t="s">
        <v>186</v>
      </c>
      <c r="D3" s="2"/>
      <c r="E3" s="1" t="s">
        <v>218</v>
      </c>
      <c r="F3" s="1" t="s">
        <v>161</v>
      </c>
    </row>
    <row r="4" spans="1:6">
      <c r="A4" s="2" t="s">
        <v>219</v>
      </c>
      <c r="B4" s="2" t="s">
        <v>220</v>
      </c>
      <c r="C4" s="2" t="s">
        <v>221</v>
      </c>
      <c r="D4" s="2"/>
      <c r="E4" s="2" t="s">
        <v>222</v>
      </c>
      <c r="F4" s="2" t="s">
        <v>223</v>
      </c>
    </row>
    <row r="5" spans="1:6">
      <c r="A5" s="2" t="s">
        <v>224</v>
      </c>
      <c r="B5" s="2" t="s">
        <v>225</v>
      </c>
      <c r="C5" s="2" t="s">
        <v>226</v>
      </c>
      <c r="D5" s="2"/>
      <c r="E5" s="2" t="s">
        <v>227</v>
      </c>
      <c r="F5" s="2" t="s">
        <v>228</v>
      </c>
    </row>
    <row r="6" spans="1:6" ht="28.3">
      <c r="A6" s="2" t="s">
        <v>229</v>
      </c>
      <c r="B6" s="2" t="s">
        <v>230</v>
      </c>
      <c r="C6" s="2" t="s">
        <v>231</v>
      </c>
      <c r="D6" s="2"/>
      <c r="E6" s="2" t="s">
        <v>232</v>
      </c>
      <c r="F6" s="2" t="s">
        <v>233</v>
      </c>
    </row>
    <row r="7" spans="1:6" ht="28.3">
      <c r="A7" s="2" t="s">
        <v>234</v>
      </c>
      <c r="B7" s="2" t="s">
        <v>235</v>
      </c>
      <c r="C7" s="2" t="s">
        <v>236</v>
      </c>
      <c r="D7" s="2"/>
      <c r="E7" s="2" t="s">
        <v>237</v>
      </c>
      <c r="F7" s="2" t="s">
        <v>235</v>
      </c>
    </row>
    <row r="8" spans="1:6" ht="28.3">
      <c r="A8" s="2" t="s">
        <v>238</v>
      </c>
      <c r="B8" s="2" t="s">
        <v>239</v>
      </c>
      <c r="C8" s="2" t="s">
        <v>240</v>
      </c>
      <c r="D8" s="2"/>
      <c r="E8" s="2" t="s">
        <v>241</v>
      </c>
      <c r="F8" s="2" t="s">
        <v>242</v>
      </c>
    </row>
    <row r="9" spans="1:6">
      <c r="A9" s="2" t="s">
        <v>243</v>
      </c>
      <c r="B9" s="2" t="s">
        <v>244</v>
      </c>
      <c r="C9" s="2" t="s">
        <v>245</v>
      </c>
      <c r="D9" s="2"/>
      <c r="E9" s="2"/>
      <c r="F9" s="2" t="s">
        <v>246</v>
      </c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 ht="28.3">
      <c r="A12" s="1" t="s">
        <v>24</v>
      </c>
      <c r="B12" s="1" t="s">
        <v>25</v>
      </c>
      <c r="C12" s="1" t="s">
        <v>247</v>
      </c>
      <c r="D12" s="2" t="s">
        <v>201</v>
      </c>
      <c r="E12" s="2" t="s">
        <v>195</v>
      </c>
      <c r="F12" s="2"/>
    </row>
    <row r="13" spans="1:6">
      <c r="A13" s="2" t="s">
        <v>30</v>
      </c>
      <c r="B13" s="2" t="s">
        <v>248</v>
      </c>
      <c r="C13" s="2">
        <f>COUNTIFS('Исходные данные'!$F$3:$F$62,A13,'Исходные данные'!$G$3:$G$62,B13)</f>
        <v>4</v>
      </c>
      <c r="D13" s="4">
        <f>IF(C13=0,"",SUMIFS('Исходные данные'!$E$3:$E$62,'Исходные данные'!$F$3:$F$62,A13,'Исходные данные'!$G$3:$G$62,B13)/C13)</f>
        <v>65.875</v>
      </c>
      <c r="E13" s="4">
        <f>IF(C13=0,"",SUMIFS('Исходные данные'!$D$3:$D$62,'Исходные данные'!$F$3:$F$62,A13,'Исходные данные'!$G$3:$G$62,B13)/C13)</f>
        <v>5.5424999999999995</v>
      </c>
      <c r="F13" s="2"/>
    </row>
    <row r="14" spans="1:6">
      <c r="A14" s="2" t="s">
        <v>30</v>
      </c>
      <c r="B14" s="2" t="s">
        <v>249</v>
      </c>
      <c r="C14" s="2">
        <f>COUNTIFS('Исходные данные'!$F$3:$F$62,A14,'Исходные данные'!$G$3:$G$62,B14)</f>
        <v>16</v>
      </c>
      <c r="D14" s="4">
        <f>IF(C14=0,"",SUMIFS('Исходные данные'!$E$3:$E$62,'Исходные данные'!$F$3:$F$62,A14,'Исходные данные'!$G$3:$G$62,B14)/C14)</f>
        <v>42.775000000000006</v>
      </c>
      <c r="E14" s="4">
        <f>IF(C14=0,"",SUMIFS('Исходные данные'!$D$3:$D$62,'Исходные данные'!$F$3:$F$62,A14,'Исходные данные'!$G$3:$G$62,B14)/C14)</f>
        <v>3.493125</v>
      </c>
      <c r="F14" s="2"/>
    </row>
    <row r="15" spans="1:6">
      <c r="A15" s="2" t="s">
        <v>30</v>
      </c>
      <c r="B15" s="2" t="s">
        <v>250</v>
      </c>
      <c r="C15" s="2">
        <f>COUNTIFS('Исходные данные'!$F$3:$F$62,A15,'Исходные данные'!$G$3:$G$62,B15)</f>
        <v>0</v>
      </c>
      <c r="D15" s="4" t="str">
        <f>IF(C15=0,"",SUMIFS('Исходные данные'!$E$3:$E$62,'Исходные данные'!$F$3:$F$62,A15,'Исходные данные'!$G$3:$G$62,B15)/C15)</f>
        <v/>
      </c>
      <c r="E15" s="4" t="str">
        <f>IF(C15=0,"",SUMIFS('Исходные данные'!$D$3:$D$62,'Исходные данные'!$F$3:$F$62,A15,'Исходные данные'!$G$3:$G$62,B15)/C15)</f>
        <v/>
      </c>
      <c r="F15" s="2"/>
    </row>
    <row r="16" spans="1:6">
      <c r="A16" s="2" t="s">
        <v>38</v>
      </c>
      <c r="B16" s="2" t="s">
        <v>248</v>
      </c>
      <c r="C16" s="2">
        <f>COUNTIFS('Исходные данные'!$F$3:$F$62,A16,'Исходные данные'!$G$3:$G$62,B16)</f>
        <v>5</v>
      </c>
      <c r="D16" s="4">
        <f>IF(C16=0,"",SUMIFS('Исходные данные'!$E$3:$E$62,'Исходные данные'!$F$3:$F$62,A16,'Исходные данные'!$G$3:$G$62,B16)/C16)</f>
        <v>66.320000000000007</v>
      </c>
      <c r="E16" s="4">
        <f>IF(C16=0,"",SUMIFS('Исходные данные'!$D$3:$D$62,'Исходные данные'!$F$3:$F$62,A16,'Исходные данные'!$G$3:$G$62,B16)/C16)</f>
        <v>5.5060000000000002</v>
      </c>
      <c r="F16" s="2"/>
    </row>
    <row r="17" spans="1:6">
      <c r="A17" s="2" t="s">
        <v>38</v>
      </c>
      <c r="B17" s="2" t="s">
        <v>249</v>
      </c>
      <c r="C17" s="2">
        <f>COUNTIFS('Исходные данные'!$F$3:$F$62,A17,'Исходные данные'!$G$3:$G$62,B17)</f>
        <v>13</v>
      </c>
      <c r="D17" s="4">
        <f>IF(C17=0,"",SUMIFS('Исходные данные'!$E$3:$E$62,'Исходные данные'!$F$3:$F$62,A17,'Исходные данные'!$G$3:$G$62,B17)/C17)</f>
        <v>46.915384615384625</v>
      </c>
      <c r="E17" s="4">
        <f>IF(C17=0,"",SUMIFS('Исходные данные'!$D$3:$D$62,'Исходные данные'!$F$3:$F$62,A17,'Исходные данные'!$G$3:$G$62,B17)/C17)</f>
        <v>3.609230769230769</v>
      </c>
      <c r="F17" s="2"/>
    </row>
    <row r="18" spans="1:6">
      <c r="A18" s="2" t="s">
        <v>38</v>
      </c>
      <c r="B18" s="2" t="s">
        <v>250</v>
      </c>
      <c r="C18" s="2">
        <f>COUNTIFS('Исходные данные'!$F$3:$F$62,A18,'Исходные данные'!$G$3:$G$62,B18)</f>
        <v>2</v>
      </c>
      <c r="D18" s="4">
        <f>IF(C18=0,"",SUMIFS('Исходные данные'!$E$3:$E$62,'Исходные данные'!$F$3:$F$62,A18,'Исходные данные'!$G$3:$G$62,B18)/C18)</f>
        <v>36.450000000000003</v>
      </c>
      <c r="E18" s="4">
        <f>IF(C18=0,"",SUMIFS('Исходные данные'!$D$3:$D$62,'Исходные данные'!$F$3:$F$62,A18,'Исходные данные'!$G$3:$G$62,B18)/C18)</f>
        <v>2.2649999999999997</v>
      </c>
      <c r="F18" s="2"/>
    </row>
    <row r="19" spans="1:6">
      <c r="A19" s="2" t="s">
        <v>34</v>
      </c>
      <c r="B19" s="2" t="s">
        <v>248</v>
      </c>
      <c r="C19" s="2">
        <f>COUNTIFS('Исходные данные'!$F$3:$F$62,A19,'Исходные данные'!$G$3:$G$62,B19)</f>
        <v>7</v>
      </c>
      <c r="D19" s="4">
        <f>IF(C19=0,"",SUMIFS('Исходные данные'!$E$3:$E$62,'Исходные данные'!$F$3:$F$62,A19,'Исходные данные'!$G$3:$G$62,B19)/C19)</f>
        <v>64.542857142857159</v>
      </c>
      <c r="E19" s="4">
        <f>IF(C19=0,"",SUMIFS('Исходные данные'!$D$3:$D$62,'Исходные данные'!$F$3:$F$62,A19,'Исходные данные'!$G$3:$G$62,B19)/C19)</f>
        <v>5.4828571428571431</v>
      </c>
      <c r="F19" s="2"/>
    </row>
    <row r="20" spans="1:6">
      <c r="A20" s="2" t="s">
        <v>34</v>
      </c>
      <c r="B20" s="2" t="s">
        <v>249</v>
      </c>
      <c r="C20" s="2">
        <f>COUNTIFS('Исходные данные'!$F$3:$F$62,A20,'Исходные данные'!$G$3:$G$62,B20)</f>
        <v>11</v>
      </c>
      <c r="D20" s="4">
        <f>IF(C20=0,"",SUMIFS('Исходные данные'!$E$3:$E$62,'Исходные данные'!$F$3:$F$62,A20,'Исходные данные'!$G$3:$G$62,B20)/C20)</f>
        <v>48.645454545454534</v>
      </c>
      <c r="E20" s="4">
        <f>IF(C20=0,"",SUMIFS('Исходные данные'!$D$3:$D$62,'Исходные данные'!$F$3:$F$62,A20,'Исходные данные'!$G$3:$G$62,B20)/C20)</f>
        <v>3.6190909090909087</v>
      </c>
      <c r="F20" s="2"/>
    </row>
    <row r="21" spans="1:6">
      <c r="A21" s="2" t="s">
        <v>34</v>
      </c>
      <c r="B21" s="2" t="s">
        <v>250</v>
      </c>
      <c r="C21" s="2">
        <f>COUNTIFS('Исходные данные'!$F$3:$F$62,A21,'Исходные данные'!$G$3:$G$62,B21)</f>
        <v>2</v>
      </c>
      <c r="D21" s="4">
        <f>IF(C21=0,"",SUMIFS('Исходные данные'!$E$3:$E$62,'Исходные данные'!$F$3:$F$62,A21,'Исходные данные'!$G$3:$G$62,B21)/C21)</f>
        <v>35.1</v>
      </c>
      <c r="E21" s="4">
        <f>IF(C21=0,"",SUMIFS('Исходные данные'!$D$3:$D$62,'Исходные данные'!$F$3:$F$62,A21,'Исходные данные'!$G$3:$G$62,B21)/C21)</f>
        <v>2.38</v>
      </c>
      <c r="F21" s="2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</sheetData>
  <mergeCells count="2">
    <mergeCell ref="A1:F1"/>
    <mergeCell ref="A22:F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8"/>
  <sheetViews>
    <sheetView workbookViewId="0"/>
  </sheetViews>
  <sheetFormatPr defaultRowHeight="14.15"/>
  <cols>
    <col min="1" max="1" width="23" customWidth="1"/>
    <col min="2" max="3" width="44" customWidth="1"/>
  </cols>
  <sheetData>
    <row r="1" spans="1:3" ht="16" customHeight="1">
      <c r="A1" s="6" t="s">
        <v>251</v>
      </c>
      <c r="B1" s="6"/>
      <c r="C1" s="6"/>
    </row>
    <row r="2" spans="1:3">
      <c r="A2" s="2"/>
      <c r="B2" s="2"/>
      <c r="C2" s="2"/>
    </row>
    <row r="3" spans="1:3">
      <c r="A3" s="1" t="s">
        <v>252</v>
      </c>
      <c r="B3" s="1" t="s">
        <v>253</v>
      </c>
      <c r="C3" s="1" t="s">
        <v>254</v>
      </c>
    </row>
    <row r="4" spans="1:3">
      <c r="A4" s="2" t="s">
        <v>255</v>
      </c>
      <c r="B4" s="2" t="s">
        <v>256</v>
      </c>
      <c r="C4" s="2" t="s">
        <v>257</v>
      </c>
    </row>
    <row r="5" spans="1:3">
      <c r="A5" s="2" t="s">
        <v>258</v>
      </c>
      <c r="B5" s="2" t="s">
        <v>259</v>
      </c>
      <c r="C5" s="2" t="s">
        <v>260</v>
      </c>
    </row>
    <row r="6" spans="1:3" ht="28.3">
      <c r="A6" s="2" t="s">
        <v>261</v>
      </c>
      <c r="B6" s="2" t="s">
        <v>262</v>
      </c>
      <c r="C6" s="2" t="s">
        <v>263</v>
      </c>
    </row>
    <row r="7" spans="1:3">
      <c r="A7" s="2" t="s">
        <v>264</v>
      </c>
      <c r="B7" s="2" t="s">
        <v>265</v>
      </c>
      <c r="C7" s="2" t="s">
        <v>266</v>
      </c>
    </row>
    <row r="8" spans="1:3">
      <c r="A8" s="2" t="s">
        <v>267</v>
      </c>
      <c r="B8" s="2" t="s">
        <v>268</v>
      </c>
      <c r="C8" s="2" t="s">
        <v>269</v>
      </c>
    </row>
    <row r="9" spans="1:3">
      <c r="A9" s="2" t="s">
        <v>270</v>
      </c>
      <c r="B9" s="2" t="s">
        <v>271</v>
      </c>
      <c r="C9" s="2" t="s">
        <v>272</v>
      </c>
    </row>
    <row r="10" spans="1:3">
      <c r="A10" s="2" t="s">
        <v>273</v>
      </c>
      <c r="B10" s="2" t="s">
        <v>274</v>
      </c>
      <c r="C10" s="2" t="s">
        <v>275</v>
      </c>
    </row>
    <row r="11" spans="1:3">
      <c r="A11" s="2" t="s">
        <v>276</v>
      </c>
      <c r="B11" s="2" t="s">
        <v>277</v>
      </c>
      <c r="C11" s="2" t="s">
        <v>278</v>
      </c>
    </row>
    <row r="12" spans="1:3">
      <c r="A12" s="2" t="s">
        <v>279</v>
      </c>
      <c r="B12" s="2" t="s">
        <v>280</v>
      </c>
      <c r="C12" s="2" t="s">
        <v>281</v>
      </c>
    </row>
    <row r="13" spans="1:3">
      <c r="A13" s="2" t="s">
        <v>282</v>
      </c>
      <c r="B13" s="2" t="s">
        <v>283</v>
      </c>
      <c r="C13" s="2" t="s">
        <v>284</v>
      </c>
    </row>
    <row r="14" spans="1:3">
      <c r="A14" s="2"/>
      <c r="B14" s="2"/>
      <c r="C14" s="2"/>
    </row>
    <row r="15" spans="1:3">
      <c r="A15" s="8" t="s">
        <v>285</v>
      </c>
      <c r="B15" s="8"/>
      <c r="C15" s="8"/>
    </row>
    <row r="16" spans="1:3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</sheetData>
  <mergeCells count="2">
    <mergeCell ref="A1:C1"/>
    <mergeCell ref="A15:C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workbookViewId="0"/>
  </sheetViews>
  <sheetFormatPr defaultRowHeight="14.15"/>
  <cols>
    <col min="1" max="1" width="99.5" customWidth="1"/>
    <col min="2" max="2" width="13.7109375" customWidth="1"/>
    <col min="3" max="3" width="62.640625" customWidth="1"/>
    <col min="4" max="4" width="21.640625" customWidth="1"/>
    <col min="5" max="5" width="26.35546875" customWidth="1"/>
    <col min="6" max="6" width="34.5" customWidth="1"/>
  </cols>
  <sheetData>
    <row r="1" spans="1:6" ht="16" customHeight="1">
      <c r="A1" s="6" t="s">
        <v>286</v>
      </c>
      <c r="B1" s="6"/>
      <c r="C1" s="6"/>
      <c r="D1" s="6"/>
      <c r="E1" s="6"/>
      <c r="F1" s="6"/>
    </row>
    <row r="3" spans="1:6">
      <c r="A3" s="1" t="s">
        <v>287</v>
      </c>
      <c r="B3" s="1" t="s">
        <v>288</v>
      </c>
      <c r="C3" s="1" t="s">
        <v>289</v>
      </c>
      <c r="D3" s="1" t="s">
        <v>290</v>
      </c>
      <c r="E3" s="1" t="s">
        <v>291</v>
      </c>
      <c r="F3" s="1" t="s">
        <v>292</v>
      </c>
    </row>
    <row r="4" spans="1:6" ht="28.3">
      <c r="A4" s="2" t="s">
        <v>293</v>
      </c>
      <c r="B4" s="2" t="s">
        <v>294</v>
      </c>
      <c r="C4" s="2" t="s">
        <v>295</v>
      </c>
      <c r="D4" s="2" t="s">
        <v>296</v>
      </c>
      <c r="E4" s="2" t="s">
        <v>297</v>
      </c>
      <c r="F4" s="2" t="s">
        <v>298</v>
      </c>
    </row>
    <row r="5" spans="1:6" ht="28.3">
      <c r="A5" s="2" t="s">
        <v>299</v>
      </c>
      <c r="B5" s="2" t="s">
        <v>300</v>
      </c>
      <c r="C5" s="2" t="s">
        <v>301</v>
      </c>
      <c r="D5" s="2" t="s">
        <v>302</v>
      </c>
      <c r="E5" s="2" t="s">
        <v>303</v>
      </c>
      <c r="F5" s="2" t="s">
        <v>304</v>
      </c>
    </row>
    <row r="6" spans="1:6">
      <c r="A6" s="2" t="s">
        <v>305</v>
      </c>
      <c r="B6" s="2" t="s">
        <v>306</v>
      </c>
      <c r="C6" s="2" t="s">
        <v>307</v>
      </c>
      <c r="D6" s="2" t="s">
        <v>308</v>
      </c>
      <c r="E6" s="2" t="s">
        <v>309</v>
      </c>
      <c r="F6" s="2" t="s">
        <v>310</v>
      </c>
    </row>
    <row r="7" spans="1:6" ht="28.3">
      <c r="A7" s="2" t="s">
        <v>311</v>
      </c>
      <c r="B7" s="2" t="s">
        <v>312</v>
      </c>
      <c r="C7" s="2" t="s">
        <v>313</v>
      </c>
      <c r="D7" s="2" t="s">
        <v>314</v>
      </c>
      <c r="E7" s="2" t="s">
        <v>315</v>
      </c>
      <c r="F7" s="2" t="s">
        <v>316</v>
      </c>
    </row>
    <row r="8" spans="1:6" ht="28.3">
      <c r="A8" s="2" t="s">
        <v>317</v>
      </c>
      <c r="B8" s="2" t="s">
        <v>318</v>
      </c>
      <c r="C8" s="2" t="s">
        <v>319</v>
      </c>
      <c r="D8" s="2" t="s">
        <v>297</v>
      </c>
      <c r="E8" s="2" t="s">
        <v>320</v>
      </c>
      <c r="F8" s="2" t="s">
        <v>321</v>
      </c>
    </row>
    <row r="9" spans="1:6">
      <c r="A9" s="2" t="s">
        <v>322</v>
      </c>
      <c r="B9" s="2" t="s">
        <v>323</v>
      </c>
      <c r="C9" s="2" t="s">
        <v>324</v>
      </c>
      <c r="D9" s="2" t="s">
        <v>325</v>
      </c>
      <c r="E9" s="2" t="s">
        <v>326</v>
      </c>
      <c r="F9" s="2" t="s">
        <v>327</v>
      </c>
    </row>
    <row r="10" spans="1:6" ht="28.3">
      <c r="A10" s="2" t="s">
        <v>328</v>
      </c>
      <c r="B10" s="2" t="s">
        <v>329</v>
      </c>
      <c r="C10" s="2" t="s">
        <v>330</v>
      </c>
      <c r="D10" s="2" t="s">
        <v>331</v>
      </c>
      <c r="E10" s="2" t="s">
        <v>332</v>
      </c>
      <c r="F10" s="2" t="s">
        <v>333</v>
      </c>
    </row>
    <row r="11" spans="1:6" ht="28.3">
      <c r="A11" s="2" t="s">
        <v>334</v>
      </c>
      <c r="B11" s="2" t="s">
        <v>335</v>
      </c>
      <c r="C11" s="2" t="s">
        <v>336</v>
      </c>
      <c r="D11" s="2" t="s">
        <v>198</v>
      </c>
      <c r="E11" s="2" t="s">
        <v>337</v>
      </c>
      <c r="F11" s="2" t="s">
        <v>338</v>
      </c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10" t="s">
        <v>339</v>
      </c>
      <c r="B14" s="10"/>
      <c r="C14" s="10"/>
      <c r="D14" s="10"/>
      <c r="E14" s="10"/>
      <c r="F14" s="10"/>
    </row>
    <row r="15" spans="1:6" ht="17.600000000000001">
      <c r="A15" s="11" t="s">
        <v>340</v>
      </c>
      <c r="B15" s="11"/>
      <c r="C15" s="11"/>
      <c r="D15" s="11"/>
      <c r="E15" s="11"/>
      <c r="F15" s="11"/>
    </row>
    <row r="16" spans="1:6" ht="16" customHeight="1">
      <c r="A16" s="12" t="s">
        <v>341</v>
      </c>
      <c r="B16" s="12"/>
      <c r="C16" s="12"/>
      <c r="D16" s="12"/>
      <c r="E16" s="12"/>
      <c r="F16" s="12"/>
    </row>
    <row r="17" spans="1:6" ht="17.600000000000001">
      <c r="A17" s="11" t="s">
        <v>340</v>
      </c>
      <c r="B17" s="11"/>
      <c r="C17" s="11"/>
      <c r="D17" s="11"/>
      <c r="E17" s="11"/>
      <c r="F17" s="11"/>
    </row>
    <row r="18" spans="1:6" ht="16" customHeight="1">
      <c r="A18" s="12" t="s">
        <v>342</v>
      </c>
      <c r="B18" s="12"/>
      <c r="C18" s="12"/>
      <c r="D18" s="12"/>
      <c r="E18" s="12"/>
      <c r="F18" s="12"/>
    </row>
    <row r="19" spans="1:6" ht="17.600000000000001">
      <c r="A19" s="11" t="s">
        <v>340</v>
      </c>
      <c r="B19" s="11"/>
      <c r="C19" s="11"/>
      <c r="D19" s="11"/>
      <c r="E19" s="11"/>
      <c r="F19" s="11"/>
    </row>
    <row r="20" spans="1:6" ht="16" customHeight="1">
      <c r="A20" s="12" t="s">
        <v>343</v>
      </c>
      <c r="B20" s="12"/>
      <c r="C20" s="12"/>
      <c r="D20" s="12"/>
      <c r="E20" s="12"/>
      <c r="F20" s="12"/>
    </row>
    <row r="21" spans="1:6" ht="17.600000000000001">
      <c r="A21" s="11" t="s">
        <v>340</v>
      </c>
      <c r="B21" s="11"/>
      <c r="C21" s="11"/>
      <c r="D21" s="11"/>
      <c r="E21" s="11"/>
      <c r="F21" s="11"/>
    </row>
    <row r="22" spans="1:6" ht="16" customHeight="1">
      <c r="A22" s="12" t="s">
        <v>344</v>
      </c>
      <c r="B22" s="12"/>
      <c r="C22" s="12"/>
      <c r="D22" s="12"/>
      <c r="E22" s="12"/>
      <c r="F22" s="12"/>
    </row>
    <row r="23" spans="1:6" ht="17.600000000000001">
      <c r="A23" s="11" t="s">
        <v>340</v>
      </c>
      <c r="B23" s="11"/>
      <c r="C23" s="11"/>
      <c r="D23" s="11"/>
      <c r="E23" s="11"/>
      <c r="F23" s="11"/>
    </row>
    <row r="24" spans="1:6" ht="16" customHeight="1">
      <c r="A24" s="12" t="s">
        <v>345</v>
      </c>
      <c r="B24" s="12"/>
      <c r="C24" s="12"/>
      <c r="D24" s="12"/>
      <c r="E24" s="12"/>
      <c r="F24" s="12"/>
    </row>
    <row r="25" spans="1:6" ht="17.600000000000001">
      <c r="A25" s="11" t="s">
        <v>340</v>
      </c>
      <c r="B25" s="11"/>
      <c r="C25" s="11"/>
      <c r="D25" s="11"/>
      <c r="E25" s="11"/>
      <c r="F25" s="11"/>
    </row>
    <row r="26" spans="1:6" ht="16" customHeight="1">
      <c r="A26" s="12" t="s">
        <v>346</v>
      </c>
      <c r="B26" s="12"/>
      <c r="C26" s="12"/>
      <c r="D26" s="12"/>
      <c r="E26" s="12"/>
      <c r="F26" s="12"/>
    </row>
    <row r="27" spans="1:6" ht="17.600000000000001">
      <c r="A27" s="11" t="s">
        <v>340</v>
      </c>
      <c r="B27" s="11"/>
      <c r="C27" s="11"/>
      <c r="D27" s="11"/>
      <c r="E27" s="11"/>
      <c r="F27" s="11"/>
    </row>
    <row r="28" spans="1:6" ht="16" customHeight="1">
      <c r="A28" s="12" t="s">
        <v>347</v>
      </c>
      <c r="B28" s="12"/>
      <c r="C28" s="12"/>
      <c r="D28" s="12"/>
      <c r="E28" s="12"/>
      <c r="F28" s="12"/>
    </row>
  </sheetData>
  <mergeCells count="16">
    <mergeCell ref="A28:F28"/>
    <mergeCell ref="A21:F21"/>
    <mergeCell ref="A23:F23"/>
    <mergeCell ref="A25:F25"/>
    <mergeCell ref="A27:F27"/>
    <mergeCell ref="A16:F16"/>
    <mergeCell ref="A18:F18"/>
    <mergeCell ref="A20:F20"/>
    <mergeCell ref="A22:F22"/>
    <mergeCell ref="A24:F24"/>
    <mergeCell ref="A26:F26"/>
    <mergeCell ref="A1:F1"/>
    <mergeCell ref="A14:F14"/>
    <mergeCell ref="A15:F15"/>
    <mergeCell ref="A17:F17"/>
    <mergeCell ref="A19:F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workbookViewId="0"/>
  </sheetViews>
  <sheetFormatPr defaultRowHeight="14.15"/>
  <cols>
    <col min="1" max="6" width="20" customWidth="1"/>
  </cols>
  <sheetData>
    <row r="1" spans="1:6" ht="16" customHeight="1">
      <c r="A1" s="9" t="s">
        <v>348</v>
      </c>
      <c r="B1" s="9"/>
      <c r="C1" s="9"/>
      <c r="D1" s="9"/>
      <c r="E1" s="9"/>
      <c r="F1" s="9"/>
    </row>
    <row r="3" spans="1:6" ht="12.55" customHeight="1">
      <c r="A3" s="13" t="s">
        <v>349</v>
      </c>
      <c r="B3" s="13"/>
      <c r="C3" s="13"/>
      <c r="D3" s="13"/>
      <c r="E3" s="13"/>
      <c r="F3" s="13"/>
    </row>
    <row r="4" spans="1:6" ht="12.55" customHeight="1">
      <c r="A4" s="13"/>
      <c r="B4" s="13"/>
      <c r="C4" s="13"/>
      <c r="D4" s="13"/>
      <c r="E4" s="13"/>
      <c r="F4" s="13"/>
    </row>
    <row r="5" spans="1:6" ht="12.55" customHeight="1">
      <c r="A5" s="13"/>
      <c r="B5" s="13"/>
      <c r="C5" s="13"/>
      <c r="D5" s="13"/>
      <c r="E5" s="13"/>
      <c r="F5" s="13"/>
    </row>
    <row r="6" spans="1:6" ht="12.55" customHeight="1">
      <c r="A6" s="13"/>
      <c r="B6" s="13"/>
      <c r="C6" s="13"/>
      <c r="D6" s="13"/>
      <c r="E6" s="13"/>
      <c r="F6" s="13"/>
    </row>
    <row r="7" spans="1:6" ht="12.55" customHeight="1">
      <c r="A7" s="13"/>
      <c r="B7" s="13"/>
      <c r="C7" s="13"/>
      <c r="D7" s="13"/>
      <c r="E7" s="13"/>
      <c r="F7" s="13"/>
    </row>
    <row r="8" spans="1:6" ht="12.55" customHeight="1">
      <c r="A8" s="13"/>
      <c r="B8" s="13"/>
      <c r="C8" s="13"/>
      <c r="D8" s="13"/>
      <c r="E8" s="13"/>
      <c r="F8" s="13"/>
    </row>
    <row r="9" spans="1:6" ht="12.55" customHeight="1">
      <c r="A9" s="13"/>
      <c r="B9" s="13"/>
      <c r="C9" s="13"/>
      <c r="D9" s="13"/>
      <c r="E9" s="13"/>
      <c r="F9" s="13"/>
    </row>
    <row r="10" spans="1:6" ht="12.55" customHeight="1">
      <c r="A10" s="13"/>
      <c r="B10" s="13"/>
      <c r="C10" s="13"/>
      <c r="D10" s="13"/>
      <c r="E10" s="13"/>
      <c r="F10" s="13"/>
    </row>
    <row r="11" spans="1:6" ht="12.55" customHeight="1">
      <c r="A11" s="13"/>
      <c r="B11" s="13"/>
      <c r="C11" s="13"/>
      <c r="D11" s="13"/>
      <c r="E11" s="13"/>
      <c r="F11" s="13"/>
    </row>
    <row r="12" spans="1:6" ht="12.55" customHeight="1">
      <c r="A12" s="13"/>
      <c r="B12" s="13"/>
      <c r="C12" s="13"/>
      <c r="D12" s="13"/>
      <c r="E12" s="13"/>
      <c r="F12" s="13"/>
    </row>
  </sheetData>
  <mergeCells count="2">
    <mergeCell ref="A1:F1"/>
    <mergeCell ref="A3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Нормативы</vt:lpstr>
      <vt:lpstr>Исходные данные</vt:lpstr>
      <vt:lpstr>Источники</vt:lpstr>
      <vt:lpstr>Сбор данных</vt:lpstr>
      <vt:lpstr>Хранение</vt:lpstr>
      <vt:lpstr>Обработка</vt:lpstr>
      <vt:lpstr>Анализ</vt:lpstr>
      <vt:lpstr>MapReduce</vt:lpstr>
      <vt:lpstr>Spark</vt:lpstr>
      <vt:lpstr>MapReduce vs Spark</vt:lpstr>
      <vt:lpstr>Архитектура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Мирас Шамиль</dc:creator>
  <cp:lastModifiedBy>Мирас Шамиль</cp:lastModifiedBy>
  <dcterms:created xsi:type="dcterms:W3CDTF">2026-09-23T11:22:30Z</dcterms:created>
  <dcterms:modified xsi:type="dcterms:W3CDTF">2026-09-23T11:22:30Z</dcterms:modified>
</cp:coreProperties>
</file>