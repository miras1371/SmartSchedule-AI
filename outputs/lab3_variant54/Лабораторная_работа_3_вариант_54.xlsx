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937b51347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рмативы" sheetId="1" r:id="Rbfa1b5b275aa4381"/>
    <x:sheet xmlns:r="http://schemas.openxmlformats.org/officeDocument/2006/relationships" name="Исходные данные" sheetId="2" r:id="R3de3b1b802fc4495"/>
    <x:sheet xmlns:r="http://schemas.openxmlformats.org/officeDocument/2006/relationships" name="Источники" sheetId="3" r:id="R9c42ab38bf654813"/>
    <x:sheet xmlns:r="http://schemas.openxmlformats.org/officeDocument/2006/relationships" name="Сбор данных" sheetId="4" r:id="R3acb0f43cd2548a5"/>
    <x:sheet xmlns:r="http://schemas.openxmlformats.org/officeDocument/2006/relationships" name="Хранение" sheetId="5" r:id="Rdddef9c5d4084738"/>
    <x:sheet xmlns:r="http://schemas.openxmlformats.org/officeDocument/2006/relationships" name="Обработка" sheetId="6" r:id="Rdab2411de8644698"/>
    <x:sheet xmlns:r="http://schemas.openxmlformats.org/officeDocument/2006/relationships" name="Анализ" sheetId="7" r:id="R7bde255003224182"/>
    <x:sheet xmlns:r="http://schemas.openxmlformats.org/officeDocument/2006/relationships" name="MapReduce" sheetId="8" r:id="R9042b1852eb445c5"/>
    <x:sheet xmlns:r="http://schemas.openxmlformats.org/officeDocument/2006/relationships" name="Spark" sheetId="9" r:id="R5bb6d60a6de8456a"/>
    <x:sheet xmlns:r="http://schemas.openxmlformats.org/officeDocument/2006/relationships" name="MapReduce vs Spark" sheetId="10" r:id="R6587fa5c216a498f"/>
    <x:sheet xmlns:r="http://schemas.openxmlformats.org/officeDocument/2006/relationships" name="Архитектура" sheetId="11" r:id="Rf1c3017c4f8e4ca7"/>
    <x:sheet xmlns:r="http://schemas.openxmlformats.org/officeDocument/2006/relationships" name="Вывод" sheetId="12" r:id="R8a6b60332a804aac"/>
    <x:sheet xmlns:r="http://schemas.openxmlformats.org/officeDocument/2006/relationships" name="1 Риск" sheetId="13" r:id="R7adb618b2b364d48"/>
    <x:sheet xmlns:r="http://schemas.openxmlformats.org/officeDocument/2006/relationships" name="2 Районы" sheetId="14" r:id="R540558b66a9341a9"/>
    <x:sheet xmlns:r="http://schemas.openxmlformats.org/officeDocument/2006/relationships" name="3 Конструкции" sheetId="15" r:id="Rb645e3b8b01c499e"/>
    <x:sheet xmlns:r="http://schemas.openxmlformats.org/officeDocument/2006/relationships" name="4 Организации" sheetId="16" r:id="Rd84354c5766347da"/>
    <x:sheet xmlns:r="http://schemas.openxmlformats.org/officeDocument/2006/relationships" name="5 Район и риск" sheetId="17" r:id="R96c5c546eac24461"/>
    <x:sheet xmlns:r="http://schemas.openxmlformats.org/officeDocument/2006/relationships" name="6 Тип и риск" sheetId="18" r:id="R0bbf7ca3038948d1"/>
    <x:sheet xmlns:r="http://schemas.openxmlformats.org/officeDocument/2006/relationships" name="7 Организация и риск" sheetId="19" r:id="Rb013b1668b3646bf"/>
    <x:sheet xmlns:r="http://schemas.openxmlformats.org/officeDocument/2006/relationships" name="8 Район и организация" sheetId="20" r:id="Rdc0ca415d21c41a1"/>
    <x:sheet xmlns:r="http://schemas.openxmlformats.org/officeDocument/2006/relationships" name="9 Тип и организация" sheetId="21" r:id="R946278f5d28c41e0"/>
    <x:sheet xmlns:r="http://schemas.openxmlformats.org/officeDocument/2006/relationships" name="10 Метрики риска" sheetId="22" r:id="R41369a68524d4e1c"/>
    <x:sheet xmlns:r="http://schemas.openxmlformats.org/officeDocument/2006/relationships" name="ЛР3 Итоги" sheetId="23" r:id="R52f56b36eeee428e"/>
  </x:sheets>
</x:workbook>
</file>

<file path=xl/sharedStrings.xml><?xml version="1.0" encoding="utf-8"?>
<x:sst xmlns:x="http://schemas.openxmlformats.org/spreadsheetml/2006/main">
  <x:si>
    <x:t xml:space="preserve">Методика учебной оценки категории риска</x:t>
  </x:si>
  <x:si>
    <x:t xml:space="preserve">Показатель</x:t>
  </x:si>
  <x:si>
    <x:t xml:space="preserve">Порог</x:t>
  </x:si>
  <x:si>
    <x:t xml:space="preserve">Единица</x:t>
  </x:si>
  <x:si>
    <x:t xml:space="preserve">Применение</x:t>
  </x:si>
  <x:si>
    <x:t xml:space="preserve">Индекс износа — высокая категория</x:t>
  </x:si>
  <x:si>
    <x:t xml:space="preserve">%</x:t>
  </x:si>
  <x:si>
    <x:t xml:space="preserve">Высокая при значении не ниже порога</x:t>
  </x:si>
  <x:si>
    <x:t xml:space="preserve">Вибрация — высокая категория</x:t>
  </x:si>
  <x:si>
    <x:t xml:space="preserve">мм/с</x:t>
  </x:si>
  <x:si>
    <x:t xml:space="preserve">Индекс износа — средняя категория</x:t>
  </x:si>
  <x:si>
    <x:t xml:space="preserve">Средняя, если не выполнено условие высокой</x:t>
  </x:si>
  <x:si>
    <x:t xml:space="preserve">Вибрация — средняя категория</x:t>
  </x:si>
  <x:si>
    <x:t xml:space="preserve">Источник базового SHM-набора</x:t>
  </x:si>
  <x:si>
    <x:t xml:space="preserve">https://www.kaggle.com/datasets/programmer3/aging-bridge-shm-time-series-dataset</x:t>
  </x:si>
  <x:si>
    <x:t xml:space="preserve">Справочник мостов FHWA NBI</x:t>
  </x:si>
  <x:si>
    <x:t xml:space="preserve">https://services.arcgis.com/xOi1kZaI0eWDREZv/ArcGIS/rest/services/NTAD_National_Bridge_Inventory/FeatureServer</x:t>
  </x:si>
  <x:si>
    <x:t xml:space="preserve">Примечание. Пороги риска в этой работе используются только как учебное правило для группировки. Они не являются нормативом безопасности мостов. Числовой профиль сформирован на основе открытого SHM-набора; район, тип конструкции, обслуживающая организация и категория риска приведены к структуре варианта 54.</x:t>
  </x:si>
  <x:si>
    <x:t xml:space="preserve">Вариант 54. Мониторинг состояния мостов и путепроводов — 60 записей</x:t>
  </x:si>
  <x:si>
    <x:t xml:space="preserve">№ объекта</x:t>
  </x:si>
  <x:si>
    <x:t xml:space="preserve">Район</x:t>
  </x:si>
  <x:si>
    <x:t xml:space="preserve">Тип конструкции</x:t>
  </x:si>
  <x:si>
    <x:t xml:space="preserve">Уровень вибрации, мм/с</x:t>
  </x:si>
  <x:si>
    <x:t xml:space="preserve">Индекс износа, %</x:t>
  </x:si>
  <x:si>
    <x:t xml:space="preserve">Обслуживающая организация</x:t>
  </x:si>
  <x:si>
    <x:t xml:space="preserve">Категория риска</x:t>
  </x:si>
  <x:si>
    <x:t xml:space="preserve">Код строки</x:t>
  </x:si>
  <x:si>
    <x:t xml:space="preserve">Источник данных</x:t>
  </x:si>
  <x:si>
    <x:t xml:space="preserve">Центральный</x:t>
  </x:si>
  <x:si>
    <x:t xml:space="preserve">Стальной балочный</x:t>
  </x:si>
  <x:si>
    <x:t xml:space="preserve">City Bridge Service</x:t>
  </x:si>
  <x:si>
    <x:t xml:space="preserve">SHM-001</x:t>
  </x:si>
  <x:si>
    <x:t xml:space="preserve">Промышленный</x:t>
  </x:si>
  <x:si>
    <x:t xml:space="preserve">Железобетонный балочный</x:t>
  </x:si>
  <x:si>
    <x:t xml:space="preserve">Urban Structures Unit</x:t>
  </x:si>
  <x:si>
    <x:t xml:space="preserve">SHM-002</x:t>
  </x:si>
  <x:si>
    <x:t xml:space="preserve">Западный</x:t>
  </x:si>
  <x:si>
    <x:t xml:space="preserve">Коробчатый железобетонный</x:t>
  </x:si>
  <x:si>
    <x:t xml:space="preserve">InfraRoad Maintenance</x:t>
  </x:si>
  <x:si>
    <x:t xml:space="preserve">SHM-003</x:t>
  </x:si>
  <x:si>
    <x:t xml:space="preserve">Восточный</x:t>
  </x:si>
  <x:si>
    <x:t xml:space="preserve">Арочный стальной</x:t>
  </x:si>
  <x:si>
    <x:t xml:space="preserve">SHM-004</x:t>
  </x:si>
  <x:si>
    <x:t xml:space="preserve">Вантовый</x:t>
  </x:si>
  <x:si>
    <x:t xml:space="preserve">SHM-005</x:t>
  </x:si>
  <x:si>
    <x:t xml:space="preserve">Южный</x:t>
  </x:si>
  <x:si>
    <x:t xml:space="preserve">Рамный путепровод</x:t>
  </x:si>
  <x:si>
    <x:t xml:space="preserve">SHM-006</x:t>
  </x:si>
  <x:si>
    <x:t xml:space="preserve">Северный</x:t>
  </x:si>
  <x:si>
    <x:t xml:space="preserve">SHM-007</x:t>
  </x:si>
  <x:si>
    <x:t xml:space="preserve">SHM-008</x:t>
  </x:si>
  <x:si>
    <x:t xml:space="preserve">SHM-009</x:t>
  </x:si>
  <x:si>
    <x:t xml:space="preserve">SHM-010</x:t>
  </x:si>
  <x:si>
    <x:t xml:space="preserve">SHM-011</x:t>
  </x:si>
  <x:si>
    <x:t xml:space="preserve">SHM-012</x:t>
  </x:si>
  <x:si>
    <x:t xml:space="preserve">SHM-013</x:t>
  </x:si>
  <x:si>
    <x:t xml:space="preserve">SHM-014</x:t>
  </x:si>
  <x:si>
    <x:t xml:space="preserve">SHM-015</x:t>
  </x:si>
  <x:si>
    <x:t xml:space="preserve">SHM-016</x:t>
  </x:si>
  <x:si>
    <x:t xml:space="preserve">SHM-017</x:t>
  </x:si>
  <x:si>
    <x:t xml:space="preserve">SHM-018</x:t>
  </x:si>
  <x:si>
    <x:t xml:space="preserve">SHM-019</x:t>
  </x:si>
  <x:si>
    <x:t xml:space="preserve">SHM-020</x:t>
  </x:si>
  <x:si>
    <x:t xml:space="preserve">SHM-021</x:t>
  </x:si>
  <x:si>
    <x:t xml:space="preserve">SHM-022</x:t>
  </x:si>
  <x:si>
    <x:t xml:space="preserve">SHM-023</x:t>
  </x:si>
  <x:si>
    <x:t xml:space="preserve">SHM-024</x:t>
  </x:si>
  <x:si>
    <x:t xml:space="preserve">SHM-025</x:t>
  </x:si>
  <x:si>
    <x:t xml:space="preserve">SHM-026</x:t>
  </x:si>
  <x:si>
    <x:t xml:space="preserve">SHM-027</x:t>
  </x:si>
  <x:si>
    <x:t xml:space="preserve">SHM-028</x:t>
  </x:si>
  <x:si>
    <x:t xml:space="preserve">SHM-029</x:t>
  </x:si>
  <x:si>
    <x:t xml:space="preserve">SHM-030</x:t>
  </x:si>
  <x:si>
    <x:t xml:space="preserve">SHM-031</x:t>
  </x:si>
  <x:si>
    <x:t xml:space="preserve">SHM-032</x:t>
  </x:si>
  <x:si>
    <x:t xml:space="preserve">SHM-033</x:t>
  </x:si>
  <x:si>
    <x:t xml:space="preserve">SHM-034</x:t>
  </x:si>
  <x:si>
    <x:t xml:space="preserve">SHM-035</x:t>
  </x:si>
  <x:si>
    <x:t xml:space="preserve">SHM-036</x:t>
  </x:si>
  <x:si>
    <x:t xml:space="preserve">SHM-037</x:t>
  </x:si>
  <x:si>
    <x:t xml:space="preserve">SHM-038</x:t>
  </x:si>
  <x:si>
    <x:t xml:space="preserve">SHM-039</x:t>
  </x:si>
  <x:si>
    <x:t xml:space="preserve">SHM-040</x:t>
  </x:si>
  <x:si>
    <x:t xml:space="preserve">SHM-041</x:t>
  </x:si>
  <x:si>
    <x:t xml:space="preserve">SHM-042</x:t>
  </x:si>
  <x:si>
    <x:t xml:space="preserve">SHM-043</x:t>
  </x:si>
  <x:si>
    <x:t xml:space="preserve">SHM-044</x:t>
  </x:si>
  <x:si>
    <x:t xml:space="preserve">SHM-045</x:t>
  </x:si>
  <x:si>
    <x:t xml:space="preserve">SHM-046</x:t>
  </x:si>
  <x:si>
    <x:t xml:space="preserve">SHM-047</x:t>
  </x:si>
  <x:si>
    <x:t xml:space="preserve">SHM-048</x:t>
  </x:si>
  <x:si>
    <x:t xml:space="preserve">SHM-049</x:t>
  </x:si>
  <x:si>
    <x:t xml:space="preserve">SHM-050</x:t>
  </x:si>
  <x:si>
    <x:t xml:space="preserve">SHM-051</x:t>
  </x:si>
  <x:si>
    <x:t xml:space="preserve">SHM-052</x:t>
  </x:si>
  <x:si>
    <x:t xml:space="preserve">SHM-053</x:t>
  </x:si>
  <x:si>
    <x:t xml:space="preserve">SHM-054</x:t>
  </x:si>
  <x:si>
    <x:t xml:space="preserve">SHM-055</x:t>
  </x:si>
  <x:si>
    <x:t xml:space="preserve">SHM-056</x:t>
  </x:si>
  <x:si>
    <x:t xml:space="preserve">SHM-057</x:t>
  </x:si>
  <x:si>
    <x:t xml:space="preserve">SHM-058</x:t>
  </x:si>
  <x:si>
    <x:t xml:space="preserve">SHM-059</x:t>
  </x:si>
  <x:si>
    <x:t xml:space="preserve">SHM-060</x:t>
  </x:si>
  <x:si>
    <x:t xml:space="preserve">Открытые источники для мониторинга мостов и путепроводов</x:t>
  </x:si>
  <x:si>
    <x:t xml:space="preserve">№</x:t>
  </x:si>
  <x:si>
    <x:t xml:space="preserve">Источник</x:t>
  </x:si>
  <x:si>
    <x:t xml:space="preserve">Тип данных</x:t>
  </x:si>
  <x:si>
    <x:t xml:space="preserve">Частота поступления</x:t>
  </x:si>
  <x:si>
    <x:t xml:space="preserve">Формат</x:t>
  </x:si>
  <x:si>
    <x:t xml:space="preserve">Использование в работе</x:t>
  </x:si>
  <x:si>
    <x:t xml:space="preserve">URL</x:t>
  </x:si>
  <x:si>
    <x:t xml:space="preserve">Aging Bridge SHM Time-Series Dataset</x:t>
  </x:si>
  <x:si>
    <x:t xml:space="preserve">Вибрация, degradation score, condition labels</x:t>
  </x:si>
  <x:si>
    <x:t xml:space="preserve">Временной ряд</x:t>
  </x:si>
  <x:si>
    <x:t xml:space="preserve">CSV</x:t>
  </x:si>
  <x:si>
    <x:t xml:space="preserve">Основа числового профиля 60 строк</x:t>
  </x:si>
  <x:si>
    <x:t xml:space="preserve">FHWA National Bridge Inventory</x:t>
  </x:si>
  <x:si>
    <x:t xml:space="preserve">Типы, местоположение, состояние, обслуживание</x:t>
  </x:si>
  <x:si>
    <x:t xml:space="preserve">Ежегодно</x:t>
  </x:si>
  <x:si>
    <x:t xml:space="preserve">CSV / API</x:t>
  </x:si>
  <x:si>
    <x:t xml:space="preserve">Справочник объектов и структуры полей</x:t>
  </x:si>
  <x:si>
    <x:t xml:space="preserve">Route 345 Bridge SHM Dataset</x:t>
  </x:si>
  <x:si>
    <x:t xml:space="preserve">Акселерометры, деформации, повреждения</x:t>
  </x:si>
  <x:si>
    <x:t xml:space="preserve">Экспериментальные серии</x:t>
  </x:si>
  <x:si>
    <x:t xml:space="preserve">HDF5</x:t>
  </x:si>
  <x:si>
    <x:t xml:space="preserve">Пример вибрационного SHM</x:t>
  </x:si>
  <x:si>
    <x:t xml:space="preserve">https://zenodo.org/records/15497673</x:t>
  </x:si>
  <x:si>
    <x:t xml:space="preserve">Hell Bridge Test Arena</x:t>
  </x:si>
  <x:si>
    <x:t xml:space="preserve">Ускорения, деформации, состояния повреждения</x:t>
  </x:si>
  <x:si>
    <x:t xml:space="preserve">Источник для расширения модели</x:t>
  </x:si>
  <x:si>
    <x:t xml:space="preserve">https://zenodo.org/records/14632942</x:t>
  </x:si>
  <x:si>
    <x:t xml:space="preserve">openLAB Research Bridge</x:t>
  </x:si>
  <x:si>
    <x:t xml:space="preserve">Acceleration, tilt, temperature, humidity</x:t>
  </x:si>
  <x:si>
    <x:t xml:space="preserve">Непрерывно / 10 минут</x:t>
  </x:si>
  <x:si>
    <x:t xml:space="preserve">Пример постоянного IoT-мониторинга</x:t>
  </x:si>
  <x:si>
    <x:t xml:space="preserve">https://opara.zih.tu-dresden.de/items/6653124a-8659-40b8-817e-51250639c95b</x:t>
  </x:si>
  <x:si>
    <x:t xml:space="preserve">В исходную таблицу включено 60 учебных строк, приведённых к полям варианта 54. Числовой профиль опирается на открытый Aging Bridge SHM dataset; дополнительные открытые источники показаны для реальной архитектуры системы и проверки структуры мостовых данных.</x:t>
  </x:si>
  <x:si>
    <x:t xml:space="preserve">Моделирование сбора данных</x:t>
  </x:si>
  <x:si>
    <x:t xml:space="preserve">Время / период</x:t>
  </x:si>
  <x:si>
    <x:t xml:space="preserve">Записей в выборке</x:t>
  </x:si>
  <x:si>
    <x:t xml:space="preserve">Статус загрузки</x:t>
  </x:si>
  <x:si>
    <x:t xml:space="preserve">Способ получения</x:t>
  </x:si>
  <x:si>
    <x:t xml:space="preserve">Aging Bridge SHM</x:t>
  </x:si>
  <x:si>
    <x:t xml:space="preserve">Использовано</x:t>
  </x:si>
  <x:si>
    <x:t xml:space="preserve">Открытый датасет</x:t>
  </x:si>
  <x:si>
    <x:t xml:space="preserve">FHWA NBI</x:t>
  </x:si>
  <x:si>
    <x:t xml:space="preserve">Справочник</x:t>
  </x:si>
  <x:si>
    <x:t xml:space="preserve">Open Data API</x:t>
  </x:si>
  <x:si>
    <x:t xml:space="preserve">Route 345 Bridge</x:t>
  </x:si>
  <x:si>
    <x:t xml:space="preserve">Эксперимент</x:t>
  </x:si>
  <x:si>
    <x:t xml:space="preserve">Резерв</x:t>
  </x:si>
  <x:si>
    <x:t xml:space="preserve">Zenodo</x:t>
  </x:si>
  <x:si>
    <x:t xml:space="preserve">10 мин / триггер</x:t>
  </x:si>
  <x:si>
    <x:t xml:space="preserve">Open Repository</x:t>
  </x:si>
  <x:si>
    <x:t xml:space="preserve">Значение</x:t>
  </x:si>
  <x:si>
    <x:t xml:space="preserve">Общее количество записей</x:t>
  </x:si>
  <x:si>
    <x:t xml:space="preserve">Среднее количество записей на источник</x:t>
  </x:si>
  <x:si>
    <x:t xml:space="preserve">Максимальное количество</x:t>
  </x:si>
  <x:si>
    <x:t xml:space="preserve">Минимальное количество</x:t>
  </x:si>
  <x:si>
    <x:t xml:space="preserve">Моделирование хранения данных</x:t>
  </x:si>
  <x:si>
    <x:t xml:space="preserve">Уровень</x:t>
  </x:si>
  <x:si>
    <x:t xml:space="preserve">Назначение</x:t>
  </x:si>
  <x:si>
    <x:t xml:space="preserve">Что хранится</x:t>
  </x:si>
  <x:si>
    <x:t xml:space="preserve">Технология Big Data</x:t>
  </x:si>
  <x:si>
    <x:t xml:space="preserve">Пример в лабораторной</x:t>
  </x:si>
  <x:si>
    <x:t xml:space="preserve">Raw Data</x:t>
  </x:si>
  <x:si>
    <x:t xml:space="preserve">Хранение без изменения</x:t>
  </x:si>
  <x:si>
    <x:t xml:space="preserve">Потоки акселерометров, FFT, температура, трафик, карточка объекта</x:t>
  </x:si>
  <x:si>
    <x:t xml:space="preserve">Object Storage / HDFS / Data Lake</x:t>
  </x:si>
  <x:si>
    <x:t xml:space="preserve">Лист «Исходные данные»</x:t>
  </x:si>
  <x:si>
    <x:t xml:space="preserve">Processed Data</x:t>
  </x:si>
  <x:si>
    <x:t xml:space="preserve">Очистка и нормализация</x:t>
  </x:si>
  <x:si>
    <x:t xml:space="preserve">Виброскорость, индекс износа, единые названия районов и объектов</x:t>
  </x:si>
  <x:si>
    <x:t xml:space="preserve">Spark ETL / Parquet</x:t>
  </x:si>
  <x:si>
    <x:t xml:space="preserve">Лист «Обработка»</x:t>
  </x:si>
  <x:si>
    <x:t xml:space="preserve">Analytical Data</x:t>
  </x:si>
  <x:si>
    <x:t xml:space="preserve">Агрегаты для контроля</x:t>
  </x:si>
  <x:si>
    <x:t xml:space="preserve">Средние по типам и организациям, риск по районам</x:t>
  </x:si>
  <x:si>
    <x:t xml:space="preserve">Data Mart / Spark SQL / PostgreSQL</x:t>
  </x:si>
  <x:si>
    <x:t xml:space="preserve">Листы «Анализ», «MapReduce», «Spark»</x:t>
  </x:si>
  <x:si>
    <x:t xml:space="preserve">В рабочей системе Raw-слой сохраняет исходные телеметрические сообщения, Processed-слой содержит очищенные показатели, а Analytical-слой — готовые агрегаты для дашборда, карты и планирования обследований.</x:t>
  </x:si>
  <x:si>
    <x:t xml:space="preserve">Очистка и подготовка данных</x:t>
  </x:si>
  <x:si>
    <x:t xml:space="preserve">Вибрация, мм/с</x:t>
  </x:si>
  <x:si>
    <x:t xml:space="preserve">Организация</x:t>
  </x:si>
  <x:si>
    <x:t xml:space="preserve">Качество записи</x:t>
  </x:si>
  <x:si>
    <x:t xml:space="preserve">Контроль обработки</x:t>
  </x:si>
  <x:si>
    <x:t xml:space="preserve">Результат</x:t>
  </x:si>
  <x:si>
    <x:t xml:space="preserve">Количество строк</x:t>
  </x:si>
  <x:si>
    <x:t xml:space="preserve">Строк с пропусками</x:t>
  </x:si>
  <x:si>
    <x:t xml:space="preserve">Удалено дублей</x:t>
  </x:si>
  <x:si>
    <x:t xml:space="preserve">Макс. вибрация, мм/с</x:t>
  </x:si>
  <x:si>
    <x:t xml:space="preserve">Макс. индекс износа, %</x:t>
  </x:si>
  <x:si>
    <x:t xml:space="preserve">Анализ состояния мостов и путепроводов</x:t>
  </x:si>
  <x:si>
    <x:t xml:space="preserve">Количество записей</x:t>
  </x:si>
  <x:si>
    <x:t xml:space="preserve">Средний индекс износа, %</x:t>
  </x:si>
  <x:si>
    <x:t xml:space="preserve">Средняя вибрация, мм/с</x:t>
  </x:si>
  <x:si>
    <x:t xml:space="preserve">Максимальный индекс износа, %</x:t>
  </x:si>
  <x:si>
    <x:t xml:space="preserve">Максимальная вибрация, мм/с</x:t>
  </x:si>
  <x:si>
    <x:t xml:space="preserve">Высокий риск</x:t>
  </x:si>
  <x:si>
    <x:t xml:space="preserve">Средний риск</x:t>
  </x:si>
  <x:si>
    <x:t xml:space="preserve">Низкий риск</x:t>
  </x:si>
  <x:si>
    <x:t xml:space="preserve">Средний износ, %</x:t>
  </x:si>
  <x:si>
    <x:t xml:space="preserve">Объекты высокого риска</x:t>
  </x:si>
  <x:si>
    <x:t xml:space="preserve">MapReduce: подсчёт объектов высокой категории риска по районам</x:t>
  </x:si>
  <x:si>
    <x:t xml:space="preserve">Map — Key (район)</x:t>
  </x:si>
  <x:si>
    <x:t xml:space="preserve">Map — Value</x:t>
  </x:si>
  <x:si>
    <x:t xml:space="preserve">Shuffle/Sort — Key</x:t>
  </x:si>
  <x:si>
    <x:t xml:space="preserve">Values</x:t>
  </x:si>
  <x:si>
    <x:t xml:space="preserve">Reduce — сумма</x:t>
  </x:si>
  <x:si>
    <x:t xml:space="preserve">0, 0, 0, 0, 1, 0, 0, 0, 0, 1, 1, 1, 0, 0, 0</x:t>
  </x:si>
  <x:si>
    <x:t xml:space="preserve">0, 0, 1, 0, 0, 0, 0</x:t>
  </x:si>
  <x:si>
    <x:t xml:space="preserve">0, 0, 0, 1, 0, 0, 0</x:t>
  </x:si>
  <x:si>
    <x:t xml:space="preserve">0, 1, 0, 0, 0, 0, 0, 0, 0, 0, 0, 0, 1, 1, 1</x:t>
  </x:si>
  <x:si>
    <x:t xml:space="preserve">0, 1, 0, 0, 1, 0, 0, 0</x:t>
  </x:si>
  <x:si>
    <x:t xml:space="preserve">0, 0, 1, 0, 1, 1, 0, 1</x:t>
  </x:si>
  <x:si>
    <x:t xml:space="preserve">Spark-модель: группировка объектов по категориям риска и обслуживающим организациям</x:t>
  </x:si>
  <x:si>
    <x:t xml:space="preserve">Этап Spark</x:t>
  </x:si>
  <x:si>
    <x:t xml:space="preserve">Операция</x:t>
  </x:si>
  <x:si>
    <x:t xml:space="preserve">Эквивалент в PySpark</x:t>
  </x:si>
  <x:si>
    <x:t xml:space="preserve">Read</x:t>
  </x:si>
  <x:si>
    <x:t xml:space="preserve">Загрузка данных</x:t>
  </x:si>
  <x:si>
    <x:t xml:space="preserve">60 строк</x:t>
  </x:si>
  <x:si>
    <x:t xml:space="preserve">spark.read.csv(...)</x:t>
  </x:si>
  <x:si>
    <x:t xml:space="preserve">Чтение</x:t>
  </x:si>
  <x:si>
    <x:t xml:space="preserve">Filter</x:t>
  </x:si>
  <x:si>
    <x:t xml:space="preserve">Проверка полноты</x:t>
  </x:si>
  <x:si>
    <x:t xml:space="preserve">Рабочий набор</x:t>
  </x:si>
  <x:si>
    <x:t xml:space="preserve">df.filter(...)</x:t>
  </x:si>
  <x:si>
    <x:t xml:space="preserve">Очистка</x:t>
  </x:si>
  <x:si>
    <x:t xml:space="preserve">Select</x:t>
  </x:si>
  <x:si>
    <x:t xml:space="preserve">Выбор полей</x:t>
  </x:si>
  <x:si>
    <x:t xml:space="preserve">organization, risk, wear, vibration</x:t>
  </x:si>
  <x:si>
    <x:t xml:space="preserve">df.select(...)</x:t>
  </x:si>
  <x:si>
    <x:t xml:space="preserve">Подготовка</x:t>
  </x:si>
  <x:si>
    <x:t xml:space="preserve">GroupBy</x:t>
  </x:si>
  <x:si>
    <x:t xml:space="preserve">Группировка</x:t>
  </x:si>
  <x:si>
    <x:t xml:space="preserve">organization + risk</x:t>
  </x:si>
  <x:si>
    <x:t xml:space="preserve">df.groupBy("organization","risk")</x:t>
  </x:si>
  <x:si>
    <x:t xml:space="preserve">Aggregate</x:t>
  </x:si>
  <x:si>
    <x:t xml:space="preserve">count / avg</x:t>
  </x:si>
  <x:si>
    <x:t xml:space="preserve">Количество и средние показатели</x:t>
  </x:si>
  <x:si>
    <x:t xml:space="preserve">.agg(...)</x:t>
  </x:si>
  <x:si>
    <x:t xml:space="preserve">Агрегирование</x:t>
  </x:si>
  <x:si>
    <x:t xml:space="preserve">Result</x:t>
  </x:si>
  <x:si>
    <x:t xml:space="preserve">Итог</x:t>
  </x:si>
  <x:si>
    <x:t xml:space="preserve">Аналитическая таблица</x:t>
  </x:si>
  <x:si>
    <x:t xml:space="preserve">Вывод</x:t>
  </x:si>
  <x:si>
    <x:t xml:space="preserve">Количество</x:t>
  </x:si>
  <x:si>
    <x:t xml:space="preserve">Высокая</x:t>
  </x:si>
  <x:si>
    <x:t xml:space="preserve">Средняя</x:t>
  </x:si>
  <x:si>
    <x:t xml:space="preserve">Низкая</x:t>
  </x:si>
  <x:si>
    <x:t xml:space="preserve">Сравнение MapReduce и Apache Spark</x:t>
  </x:si>
  <x:si>
    <x:t xml:space="preserve">Критерий</x:t>
  </x:si>
  <x:si>
    <x:t xml:space="preserve">MapReduce</x:t>
  </x:si>
  <x:si>
    <x:t xml:space="preserve">Apache Spark</x:t>
  </x:si>
  <x:si>
    <x:t xml:space="preserve">Принцип работы</x:t>
  </x:si>
  <x:si>
    <x:t xml:space="preserve">Map → Shuffle/Sort → Reduce</x:t>
  </x:si>
  <x:si>
    <x:t xml:space="preserve">Цепочка распределённых transformations/actions</x:t>
  </x:si>
  <x:si>
    <x:t xml:space="preserve">Скорость</x:t>
  </x:si>
  <x:si>
    <x:t xml:space="preserve">Подходит для больших пакетных подсчётов</x:t>
  </x:si>
  <x:si>
    <x:t xml:space="preserve">Быстрее в повторных и потоковых операциях</x:t>
  </x:si>
  <x:si>
    <x:t xml:space="preserve">Память</x:t>
  </x:si>
  <x:si>
    <x:t xml:space="preserve">Чаще опирается на дисковые промежуточные данные</x:t>
  </x:si>
  <x:si>
    <x:t xml:space="preserve">Активно использует оперативную память</x:t>
  </x:si>
  <x:si>
    <x:t xml:space="preserve">Повторные вычисления</x:t>
  </x:si>
  <x:si>
    <x:t xml:space="preserve">Более затратны</x:t>
  </x:si>
  <x:si>
    <x:t xml:space="preserve">Эффективны при кэшировании</x:t>
  </x:si>
  <x:si>
    <x:t xml:space="preserve">Потоковая обработка</x:t>
  </x:si>
  <x:si>
    <x:t xml:space="preserve">Не основная задача</x:t>
  </x:si>
  <x:si>
    <x:t xml:space="preserve">Structured Streaming</x:t>
  </x:si>
  <x:si>
    <x:t xml:space="preserve">SQL</x:t>
  </x:si>
  <x:si>
    <x:t xml:space="preserve">Не основная функция</x:t>
  </x:si>
  <x:si>
    <x:t xml:space="preserve">Spark SQL</x:t>
  </x:si>
  <x:si>
    <x:t xml:space="preserve">Machine Learning</x:t>
  </x:si>
  <x:si>
    <x:t xml:space="preserve">Нужны внешние инструменты</x:t>
  </x:si>
  <x:si>
    <x:t xml:space="preserve">MLlib</x:t>
  </x:si>
  <x:si>
    <x:t xml:space="preserve">Графовый анализ</x:t>
  </x:si>
  <x:si>
    <x:t xml:space="preserve">Не основное назначение</x:t>
  </x:si>
  <x:si>
    <x:t xml:space="preserve">GraphX</x:t>
  </x:si>
  <x:si>
    <x:t xml:space="preserve">Преимущество</x:t>
  </x:si>
  <x:si>
    <x:t xml:space="preserve">Простая схема массового подсчёта</x:t>
  </x:si>
  <x:si>
    <x:t xml:space="preserve">Одна платформа для ETL, потоков, SQL и ML</x:t>
  </x:si>
  <x:si>
    <x:t xml:space="preserve">Недостаток</x:t>
  </x:si>
  <x:si>
    <x:t xml:space="preserve">Много операций чтения/записи на диск</x:t>
  </x:si>
  <x:si>
    <x:t xml:space="preserve">Выше требования к памяти и настройке кластера</x:t>
  </x:si>
  <x:si>
    <x:t xml:space="preserve">Для этого варианта основным инструментом выбран Spark: данные от IoT-датчиков поступают постоянно, поэтому удобны Structured Streaming, группировки, вычисление средних и дальнейшее подключение MLlib. MapReduce показан отдельно для понятного подсчёта объектов высокого риска по районам.</x:t>
  </x:si>
  <x:si>
    <x:t xml:space="preserve">Big Data архитектура непрерывного мониторинга инженерных сооружений (IoT Structural Health)</x:t>
  </x:si>
  <x:si>
    <x:t xml:space="preserve">Этап</x:t>
  </x:si>
  <x:si>
    <x:t xml:space="preserve">Компонент</x:t>
  </x:si>
  <x:si>
    <x:t xml:space="preserve">Конкретный пример</x:t>
  </x:si>
  <x:si>
    <x:t xml:space="preserve">Вход</x:t>
  </x:si>
  <x:si>
    <x:t xml:space="preserve">Выход</x:t>
  </x:si>
  <x:si>
    <x:t xml:space="preserve">Задача</x:t>
  </x:si>
  <x:si>
    <x:t xml:space="preserve">1. Источники данных</x:t>
  </x:si>
  <x:si>
    <x:t xml:space="preserve">Data Sources</x:t>
  </x:si>
  <x:si>
    <x:t xml:space="preserve">Акселерометры, тензодатчики, наклономеры, температура, трафик, инспекции</x:t>
  </x:si>
  <x:si>
    <x:t xml:space="preserve">Физические сигналы</x:t>
  </x:si>
  <x:si>
    <x:t xml:space="preserve">Телеметрия</x:t>
  </x:si>
  <x:si>
    <x:t xml:space="preserve">Непрерывное наблюдение</x:t>
  </x:si>
  <x:si>
    <x:t xml:space="preserve">2. Edge-сбор</x:t>
  </x:si>
  <x:si>
    <x:t xml:space="preserve">IoT / Edge</x:t>
  </x:si>
  <x:si>
    <x:t xml:space="preserve">ESP32/industrial gateway, локальный RMS/FFT</x:t>
  </x:si>
  <x:si>
    <x:t xml:space="preserve">Сырые сигналы</x:t>
  </x:si>
  <x:si>
    <x:t xml:space="preserve">Признаки и пакеты</x:t>
  </x:si>
  <x:si>
    <x:t xml:space="preserve">Сокращение объёма и первичная проверка</x:t>
  </x:si>
  <x:si>
    <x:t xml:space="preserve">3. Передача</x:t>
  </x:si>
  <x:si>
    <x:t xml:space="preserve">Data Ingestion</x:t>
  </x:si>
  <x:si>
    <x:t xml:space="preserve">MQTT → Apache Kafka / NiFi</x:t>
  </x:si>
  <x:si>
    <x:t xml:space="preserve">Поток событий</x:t>
  </x:si>
  <x:si>
    <x:t xml:space="preserve">Топики Kafka</x:t>
  </x:si>
  <x:si>
    <x:t xml:space="preserve">Надёжная доставка</x:t>
  </x:si>
  <x:si>
    <x:t xml:space="preserve">4. Хранение</x:t>
  </x:si>
  <x:si>
    <x:t xml:space="preserve">Data Storage</x:t>
  </x:si>
  <x:si>
    <x:t xml:space="preserve">Data Lake S3/HDFS + Parquet; PostgreSQL/TimescaleDB</x:t>
  </x:si>
  <x:si>
    <x:t xml:space="preserve">Сырой и очищенный поток</x:t>
  </x:si>
  <x:si>
    <x:t xml:space="preserve">Raw / Processed / Analytical</x:t>
  </x:si>
  <x:si>
    <x:t xml:space="preserve">История измерений</x:t>
  </x:si>
  <x:si>
    <x:t xml:space="preserve">5. Обработка</x:t>
  </x:si>
  <x:si>
    <x:t xml:space="preserve">Data Processing</x:t>
  </x:si>
  <x:si>
    <x:t xml:space="preserve">Spark Structured Streaming + batch Spark</x:t>
  </x:si>
  <x:si>
    <x:t xml:space="preserve">Очищенные признаки и агрегаты</x:t>
  </x:si>
  <x:si>
    <x:t xml:space="preserve">ETL, окна, группировки</x:t>
  </x:si>
  <x:si>
    <x:t xml:space="preserve">6. Анализ</x:t>
  </x:si>
  <x:si>
    <x:t xml:space="preserve">Data Analytics</x:t>
  </x:si>
  <x:si>
    <x:t xml:space="preserve">Spark SQL / MLlib / anomaly detection</x:t>
  </x:si>
  <x:si>
    <x:t xml:space="preserve">Признаки</x:t>
  </x:si>
  <x:si>
    <x:t xml:space="preserve">Риск, тренды, аномалии</x:t>
  </x:si>
  <x:si>
    <x:t xml:space="preserve">Раннее выявление ухудшения</x:t>
  </x:si>
  <x:si>
    <x:t xml:space="preserve">7. Визуализация</x:t>
  </x:si>
  <x:si>
    <x:t xml:space="preserve">Data Visualization</x:t>
  </x:si>
  <x:si>
    <x:t xml:space="preserve">Grafana / Power BI / GIS / Digital Twin</x:t>
  </x:si>
  <x:si>
    <x:t xml:space="preserve">Метрики</x:t>
  </x:si>
  <x:si>
    <x:t xml:space="preserve">Дашборды и карта</x:t>
  </x:si>
  <x:si>
    <x:t xml:space="preserve">Контроль состояния</x:t>
  </x:si>
  <x:si>
    <x:t xml:space="preserve">8. Решение</x:t>
  </x:si>
  <x:si>
    <x:t xml:space="preserve">Decision Making</x:t>
  </x:si>
  <x:si>
    <x:t xml:space="preserve">Уведомление, внеплановый осмотр, ограничение нагрузки, ремонт</x:t>
  </x:si>
  <x:si>
    <x:t xml:space="preserve">Заявка и действие</x:t>
  </x:si>
  <x:si>
    <x:t xml:space="preserve">Обслуживание по состоянию</x:t>
  </x:si>
  <x:si>
    <x:t xml:space="preserve">ИСТОЧНИКИ: акселерометры + тензодатчики + температура + трафик + инспекции</x:t>
  </x:si>
  <x:si>
    <x:t xml:space="preserve">↓</x:t>
  </x:si>
  <x:si>
    <x:t xml:space="preserve">EDGE: IoT Gateway → фильтрация → RMS / FFT</x:t>
  </x:si>
  <x:si>
    <x:t xml:space="preserve">ПЕРЕДАЧА: MQTT → Kafka / NiFi</x:t>
  </x:si>
  <x:si>
    <x:t xml:space="preserve">ХРАНЕНИЕ: Data Lake → Raw / Processed / Analytical</x:t>
  </x:si>
  <x:si>
    <x:t xml:space="preserve">ОБРАБОТКА: Spark Structured Streaming + batch</x:t>
  </x:si>
  <x:si>
    <x:t xml:space="preserve">АНАЛИЗ: Spark SQL / MLlib → индекс износа / риск / аномалии</x:t>
  </x:si>
  <x:si>
    <x:t xml:space="preserve">ВИЗУАЛИЗАЦИЯ: Grafana / Power BI / GIS / Digital Twin</x:t>
  </x:si>
  <x:si>
    <x:t xml:space="preserve">РЕШЕНИЕ: предупреждение → обследование → ограничение нагрузки / ремонт</x:t>
  </x:si>
  <x:si>
    <x:t xml:space="preserve">Вывод по лабораторной работе</x:t>
  </x:si>
  <x:si>
    <x:t xml:space="preserve">В работе подготовлена выборка из 60 записей для мониторинга мостов и путепроводов. Для каждого объекта указаны район, тип конструкции, уровень вибрации, индекс износа, обслуживающая организация и категория риска. Средние показатели рассчитаны отдельно по типам конструкций и организациям.
В MapReduce район используется как ключ, а объект высокой категории риска получает значение 1. После группировки значения суммируются. В Spark выполнена группировка по обслуживающей организации и категории риска с подсчётом объектов и средних показателей.
Для постоянного мониторинга подходит схема IoT Structural Health: датчики → edge-шлюз → MQTT/Kafka → Data Lake → Spark → аналитика → Grafana/Power BI/Digital Twin. Такая архитектура позволяет видеть ухудшение состояния объекта до очередного планового обследования и быстрее передавать информацию обслуживающей организации.</x:t>
  </x:si>
</x:sst>
</file>

<file path=xl/styles.xml><?xml version="1.0" encoding="utf-8"?>
<x:styleSheet xmlns:x="http://schemas.openxmlformats.org/spreadsheetml/2006/main">
  <x:numFmts count="4">
    <x:numFmt numFmtId="164" formatCode="0.0"/>
    <x:numFmt numFmtId="200" formatCode="0"/>
    <x:numFmt numFmtId="201" formatCode="0.0%"/>
    <x:numFmt numFmtId="202" formatCode="0.00"/>
  </x:numFmts>
  <x:fonts count="1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name val="Carlito"/>
    </x:font>
    <x:font>
      <x:b/>
      <x:sz val="14"/>
      <x:color rgb="FF000000"/>
      <x:name val="Arial"/>
    </x:font>
    <x:font>
      <x:i/>
      <x:sz val="10"/>
      <x:color rgb="FF5B6573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B5D4B"/>
      </x:patternFill>
    </x:fill>
    <x:fill>
      <x:patternFill patternType="solid">
        <x:fgColor rgb="FF147D64"/>
      </x:patternFill>
    </x:fill>
    <x:fill>
      <x:patternFill patternType="solid">
        <x:fgColor rgb="FFEAF4F1"/>
      </x:patternFill>
    </x:fill>
    <x:fill>
      <x:patternFill patternType="solid">
        <x:fgColor rgb="FFD8F3DC"/>
      </x:patternFill>
    </x:fill>
    <x:fill>
      <x:patternFill patternType="solid">
        <x:fgColor rgb="FFDDF3EB"/>
      </x:patternFill>
    </x:fill>
    <x:fill>
      <x:patternFill patternType="solid">
        <x:fgColor rgb="FFF6FA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/>
    <x:xf numFmtId="0" fontId="8" fillId="0" borderId="0"/>
  </x:cellStyleXfs>
  <x:cellXfs count="37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" fontId="0" fillId="0" borderId="0" xfId="1" applyNumberFormat="1" applyFont="1" applyAlignment="1">
      <x:alignment wrapText="1"/>
    </x:xf>
    <x:xf numFmtId="2" fontId="0" fillId="0" borderId="0" xfId="1" applyNumberFormat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" fillId="2" borderId="0" xfId="1" applyFont="1" applyFill="1" applyAlignment="1">
      <x:alignment horizontal="left" vertical="center" wrapText="1"/>
    </x:xf>
    <x:xf numFmtId="0" fontId="0" fillId="0" borderId="0" xfId="1" applyFont="1" applyAlignment="1">
      <x:alignment wrapText="1"/>
    </x:xf>
    <x:xf numFmtId="0" fontId="3" fillId="4" borderId="0" xfId="1" applyFont="1" applyFill="1" applyAlignment="1">
      <x:alignment vertical="top" wrapText="1"/>
    </x:xf>
    <x:xf numFmtId="0" fontId="1" fillId="2" borderId="0" xfId="1" applyFont="1" applyFill="1" applyAlignment="1">
      <x:alignment horizontal="left" vertical="center"/>
    </x:xf>
    <x:xf numFmtId="0" fontId="4" fillId="5" borderId="0" xfId="1" applyFont="1" applyFill="1" applyAlignment="1">
      <x:alignment horizontal="center" wrapText="1"/>
    </x:xf>
    <x:xf numFmtId="0" fontId="5" fillId="0" borderId="0" xfId="1" applyFont="1" applyAlignment="1">
      <x:alignment horizontal="center" wrapText="1"/>
    </x:xf>
    <x:xf numFmtId="0" fontId="6" fillId="6" borderId="0" xfId="1" applyFont="1" applyFill="1" applyAlignment="1">
      <x:alignment horizontal="center" vertical="center" wrapText="1"/>
    </x:xf>
    <x:xf numFmtId="0" fontId="7" fillId="7" borderId="0" xfId="1" applyFont="1" applyFill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vertical="center"/>
    </x:xf>
    <x:xf numFmtId="0" fontId="14" fillId="8" borderId="1" xfId="0" applyNumberFormat="1" applyFont="1" applyFill="1" applyBorder="1" applyAlignment="1">
      <x:alignment vertical="center"/>
    </x:xf>
    <x:xf numFmtId="0" fontId="14" fillId="8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vertical="center"/>
    </x:xf>
    <x:xf numFmtId="0" fontId="11" fillId="9" borderId="1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vertical="center"/>
    </x:xf>
    <x:xf numFmtId="200" fontId="12" fillId="0" borderId="1" xfId="0" applyNumberFormat="1" applyFont="1" applyFill="1" applyBorder="1" applyAlignment="1">
      <x:alignment vertical="center"/>
    </x:xf>
    <x:xf numFmtId="200" fontId="12" fillId="10" borderId="1" xfId="0" applyNumberFormat="1" applyFont="1" applyFill="1" applyBorder="1" applyAlignment="1">
      <x:alignment vertical="center"/>
    </x:xf>
    <x:xf numFmtId="200" fontId="11" fillId="9" borderId="1" xfId="0" applyNumberFormat="1" applyFont="1" applyFill="1" applyBorder="1" applyAlignment="1">
      <x:alignment vertical="center"/>
    </x:xf>
    <x:xf numFmtId="201" fontId="12" fillId="0" borderId="1" xfId="0" applyNumberFormat="1" applyFont="1" applyFill="1" applyBorder="1" applyAlignment="1">
      <x:alignment vertical="center"/>
    </x:xf>
    <x:xf numFmtId="201" fontId="12" fillId="10" borderId="1" xfId="0" applyNumberFormat="1" applyFont="1" applyFill="1" applyBorder="1" applyAlignment="1">
      <x:alignment vertical="center"/>
    </x:xf>
    <x:xf numFmtId="201" fontId="11" fillId="9" borderId="1" xfId="0" applyNumberFormat="1" applyFont="1" applyFill="1" applyBorder="1" applyAlignment="1">
      <x:alignment vertical="center"/>
    </x:xf>
    <x:xf numFmtId="202" fontId="12" fillId="0" borderId="1" xfId="0" applyNumberFormat="1" applyFont="1" applyFill="1" applyBorder="1" applyAlignment="1">
      <x:alignment vertical="center"/>
    </x:xf>
    <x:xf numFmtId="202" fontId="12" fillId="10" borderId="1" xfId="0" applyNumberFormat="1" applyFont="1" applyFill="1" applyBorder="1" applyAlignment="1">
      <x:alignment vertical="center"/>
    </x:xf>
    <x:xf numFmtId="202" fontId="11" fillId="9" borderId="1" xfId="0" applyNumberFormat="1" applyFont="1" applyFill="1" applyBorder="1" applyAlignment="1">
      <x:alignment vertical="center"/>
    </x:xf>
  </x:cellXfs>
  <x:cellStyles count="2">
    <x:cellStyle name="Normal" xfId="1"/>
    <x:cellStyle name="Обычный" xfId="0"/>
  </x:cellStyles>
  <x:dxfs count="6">
    <x:dxf>
      <x:fill>
        <x:patternFill>
          <x:bgColor rgb="FFFFF4CC"/>
        </x:patternFill>
      </x:fill>
    </x:dxf>
    <x:dxf>
      <x:fill>
        <x:patternFill>
          <x:bgColor rgb="FFFDE8E8"/>
        </x:patternFill>
      </x:fill>
    </x:dxf>
    <x:dxf>
      <x:fill>
        <x:patternFill>
          <x:bgColor rgb="FFE6F4E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292853457458f" /><Relationship Type="http://schemas.openxmlformats.org/officeDocument/2006/relationships/theme" Target="/xl/theme/theme1.xml" Id="R87fea1033fd44db8" /><Relationship Type="http://schemas.openxmlformats.org/officeDocument/2006/relationships/sharedStrings" Target="/xl/sharedStrings.xml" Id="Rf56294513db24a05" /><Relationship Type="http://schemas.openxmlformats.org/officeDocument/2006/relationships/worksheet" Target="/xl/worksheets/sheet1.xml" Id="Rbfa1b5b275aa4381" /><Relationship Type="http://schemas.openxmlformats.org/officeDocument/2006/relationships/worksheet" Target="/xl/worksheets/sheet2.xml" Id="R3de3b1b802fc4495" /><Relationship Type="http://schemas.openxmlformats.org/officeDocument/2006/relationships/worksheet" Target="/xl/worksheets/sheet3.xml" Id="R9c42ab38bf654813" /><Relationship Type="http://schemas.openxmlformats.org/officeDocument/2006/relationships/worksheet" Target="/xl/worksheets/sheet4.xml" Id="R3acb0f43cd2548a5" /><Relationship Type="http://schemas.openxmlformats.org/officeDocument/2006/relationships/worksheet" Target="/xl/worksheets/sheet5.xml" Id="Rdddef9c5d4084738" /><Relationship Type="http://schemas.openxmlformats.org/officeDocument/2006/relationships/worksheet" Target="/xl/worksheets/sheet6.xml" Id="Rdab2411de8644698" /><Relationship Type="http://schemas.openxmlformats.org/officeDocument/2006/relationships/worksheet" Target="/xl/worksheets/sheet7.xml" Id="R7bde255003224182" /><Relationship Type="http://schemas.openxmlformats.org/officeDocument/2006/relationships/worksheet" Target="/xl/worksheets/sheet8.xml" Id="R9042b1852eb445c5" /><Relationship Type="http://schemas.openxmlformats.org/officeDocument/2006/relationships/worksheet" Target="/xl/worksheets/sheet9.xml" Id="R5bb6d60a6de8456a" /><Relationship Type="http://schemas.openxmlformats.org/officeDocument/2006/relationships/worksheet" Target="/xl/worksheets/sheet10.xml" Id="R6587fa5c216a498f" /><Relationship Type="http://schemas.openxmlformats.org/officeDocument/2006/relationships/worksheet" Target="/xl/worksheets/sheet11.xml" Id="Rf1c3017c4f8e4ca7" /><Relationship Type="http://schemas.openxmlformats.org/officeDocument/2006/relationships/worksheet" Target="/xl/worksheets/sheet12.xml" Id="R8a6b60332a804aac" /><Relationship Type="http://schemas.openxmlformats.org/officeDocument/2006/relationships/worksheet" Target="/xl/worksheets/sheet13.xml" Id="R7adb618b2b364d48" /><Relationship Type="http://schemas.openxmlformats.org/officeDocument/2006/relationships/worksheet" Target="/xl/worksheets/sheet14.xml" Id="R540558b66a9341a9" /><Relationship Type="http://schemas.openxmlformats.org/officeDocument/2006/relationships/worksheet" Target="/xl/worksheets/sheet15.xml" Id="Rb645e3b8b01c499e" /><Relationship Type="http://schemas.openxmlformats.org/officeDocument/2006/relationships/worksheet" Target="/xl/worksheets/sheet16.xml" Id="Rd84354c5766347da" /><Relationship Type="http://schemas.openxmlformats.org/officeDocument/2006/relationships/worksheet" Target="/xl/worksheets/sheet17.xml" Id="R96c5c546eac24461" /><Relationship Type="http://schemas.openxmlformats.org/officeDocument/2006/relationships/worksheet" Target="/xl/worksheets/sheet18.xml" Id="R0bbf7ca3038948d1" /><Relationship Type="http://schemas.openxmlformats.org/officeDocument/2006/relationships/worksheet" Target="/xl/worksheets/sheet19.xml" Id="Rb013b1668b3646bf" /><Relationship Type="http://schemas.openxmlformats.org/officeDocument/2006/relationships/worksheet" Target="/xl/worksheets/sheet20.xml" Id="Rdc0ca415d21c41a1" /><Relationship Type="http://schemas.openxmlformats.org/officeDocument/2006/relationships/worksheet" Target="/xl/worksheets/sheet21.xml" Id="R946278f5d28c41e0" /><Relationship Type="http://schemas.openxmlformats.org/officeDocument/2006/relationships/worksheet" Target="/xl/worksheets/sheet22.xml" Id="R41369a68524d4e1c" /><Relationship Type="http://schemas.openxmlformats.org/officeDocument/2006/relationships/worksheet" Target="/xl/worksheets/sheet23.xml" Id="R52f56b36eeee42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834ed727a84fb1" /><Relationship Type="http://schemas.openxmlformats.org/officeDocument/2006/relationships/chart" Target="/xl/drawings/charts/chart2.xml" Id="R087d079365c14f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d7ffa0801d742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b13c4d2e4b34a9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b878b62a8714d4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7f0f2095d049499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3848671a87843a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Средний индекс износа по типам конструкций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Средний износ, %</c:v>
          </c:tx>
          <c:cat>
            <c:strRef>
              <c:f>Анализ!$A$15:$A$20</c:f>
              <c:strCache>
                <c:ptCount val="6"/>
                <c:pt idx="0">
                  <c:v>Стальной балочный</c:v>
                </c:pt>
                <c:pt idx="1">
                  <c:v>Железобетонный балочный</c:v>
                </c:pt>
                <c:pt idx="2">
                  <c:v>Коробчатый железобетонный</c:v>
                </c:pt>
                <c:pt idx="3">
                  <c:v>Арочный стальной</c:v>
                </c:pt>
                <c:pt idx="4">
                  <c:v>Вантовый</c:v>
                </c:pt>
                <c:pt idx="5">
                  <c:v>Рамный путепровод</c:v>
                </c:pt>
              </c:strCache>
            </c:strRef>
          </c:cat>
          <c:val>
            <c:numRef>
              <c:f>Анализ!$B$15:$B$20</c:f>
              <c:numCache>
                <c:formatCode>0.00</c:formatCode>
                <c:ptCount val="6"/>
                <c:pt idx="0">
                  <c:v>34.959999999999994</c:v>
                </c:pt>
                <c:pt idx="1">
                  <c:v>38.53</c:v>
                </c:pt>
                <c:pt idx="2">
                  <c:v>45.37</c:v>
                </c:pt>
                <c:pt idx="3">
                  <c:v>57.21</c:v>
                </c:pt>
                <c:pt idx="4">
                  <c:v>62.260000000000005</c:v>
                </c:pt>
                <c:pt idx="5">
                  <c:v>63.60999999999999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Объекты высокого риска по районам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Объекты высокого риска</c:v>
          </c:tx>
          <c:cat>
            <c:strRef>
              <c:f>Анализ!$F$15:$F$20</c:f>
              <c:strCache>
                <c:ptCount val="6"/>
                <c:pt idx="0">
                  <c:v>Центральный</c:v>
                </c:pt>
                <c:pt idx="1">
                  <c:v>Северный</c:v>
                </c:pt>
                <c:pt idx="2">
                  <c:v>Южный</c:v>
                </c:pt>
                <c:pt idx="3">
                  <c:v>Восточный</c:v>
                </c:pt>
                <c:pt idx="4">
                  <c:v>Западный</c:v>
                </c:pt>
                <c:pt idx="5">
                  <c:v>Промышленный</c:v>
                </c:pt>
              </c:strCache>
            </c:strRef>
          </c:cat>
          <c:val>
            <c:numRef>
              <c:f>Анализ!$G$15:$G$20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объектов по категориям риска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 объектов</c:v>
          </c:tx>
          <c:cat>
            <c:strRef>
              <c:f>'1 Риск'!$A$6:$A$8</c:f>
              <c:strCache>
                <c:ptCount val="0"/>
              </c:strCache>
            </c:strRef>
          </c:cat>
          <c:val>
            <c:numRef>
              <c:f>'1 Риск'!$B$6:$B$8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объектов по районам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 объектов</c:v>
          </c:tx>
          <c:cat>
            <c:strRef>
              <c:f>'2 Районы'!$A$6:$A$11</c:f>
              <c:strCache>
                <c:ptCount val="0"/>
              </c:strCache>
            </c:strRef>
          </c:cat>
          <c:val>
            <c:numRef>
              <c:f>'2 Районы'!$B$6:$B$11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объектов по типам конструкций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 объектов</c:v>
          </c:tx>
          <c:cat>
            <c:strRef>
              <c:f>'3 Конструкции'!$A$6:$A$11</c:f>
              <c:strCache>
                <c:ptCount val="0"/>
              </c:strCache>
            </c:strRef>
          </c:cat>
          <c:val>
            <c:numRef>
              <c:f>'3 Конструкции'!$B$6:$B$11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объектов по организациям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 объектов</c:v>
          </c:tx>
          <c:cat>
            <c:strRef>
              <c:f>'4 Организации'!$A$6:$A$8</c:f>
              <c:strCache>
                <c:ptCount val="0"/>
              </c:strCache>
            </c:strRef>
          </c:cat>
          <c:val>
            <c:numRef>
              <c:f>'4 Организации'!$B$6:$B$8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объектов по категориям риска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'10 Метрики риска'!$A$6:$A$8</c:f>
              <c:strCache>
                <c:ptCount val="0"/>
              </c:strCache>
            </c:strRef>
          </c:cat>
          <c:val>
            <c:numRef>
              <c:f>'10 Метрики риска'!$B$6:$B$8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834ed727a84fb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7d079365c14f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7ffa0801d7423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13c4d2e4b34a9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878b62a8714d4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0f2095d049499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848671a87843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WaterData" displayName="RawWaterData" ref="A2:I62" totalsRowShown="0">
  <x:tableColumns count="9">
    <x:tableColumn id="1" name="№ станции водозабора"/>
    <x:tableColumn id="2" name="Район"/>
    <x:tableColumn id="3" name="Показатель мутности, NTU"/>
    <x:tableColumn id="4" name="Уровень pH"/>
    <x:tableColumn id="5" name="Содержание хлора, мг/л"/>
    <x:tableColumn id="6" name="Водоканал-подрядчик"/>
    <x:tableColumn id="7" name="Соответствие СанПиН"/>
    <x:tableColumn id="8" name="Станция / точка измерения"/>
    <x:tableColumn id="9" name="Источник данны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56935a0f1d46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0be2ce3296c47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8a44735e248843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3.xml" Id="Rb48305a5365249e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4.xml" Id="R38710af85c6d455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5.xml" Id="R4619876bf29a4c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6.xml" Id="Rbb0ee570a48e409e" /></Relationships>
</file>

<file path=xl/worksheets/sheet1.xml><?xml version="1.0" encoding="utf-8"?>
<x:worksheet xmlns:x="http://schemas.openxmlformats.org/spreadsheetml/2006/main">
  <x:sheetFormatPr defaultRowHeight="14.149999618530273"/>
  <x:cols>
    <x:col min="1" max="4" width="24" customWidth="1"/>
  </x:cols>
  <x:sheetData>
    <x:row r="1" ht="16" customHeight="1">
      <x:c r="A1" s="6" t="s">
        <x:v>0</x:v>
      </x:c>
      <x:c r="B1" s="6"/>
      <x:c r="C1" s="6"/>
      <x:c r="D1" s="6"/>
    </x:row>
    <x:row r="2">
      <x:c r="A2" s="2"/>
      <x:c r="B2" s="2"/>
      <x:c r="C2" s="2"/>
      <x:c r="D2" s="2"/>
    </x:row>
    <x:row r="3">
      <x:c r="A3" s="1" t="s">
        <x:v>1</x:v>
      </x:c>
      <x:c r="B3" s="1" t="s">
        <x:v>2</x:v>
      </x:c>
      <x:c r="C3" s="1" t="s">
        <x:v>3</x:v>
      </x:c>
      <x:c r="D3" s="1" t="s">
        <x:v>4</x:v>
      </x:c>
    </x:row>
    <x:row r="4" ht="28.299999237060547">
      <x:c r="A4" s="2" t="s">
        <x:v>5</x:v>
      </x:c>
      <x:c r="B4" s="2">
        <x:v>70</x:v>
      </x:c>
      <x:c r="C4" s="2" t="s">
        <x:v>6</x:v>
      </x:c>
      <x:c r="D4" s="2" t="s">
        <x:v>7</x:v>
      </x:c>
    </x:row>
    <x:row r="5" ht="28.299999237060547">
      <x:c r="A5" s="2" t="s">
        <x:v>8</x:v>
      </x:c>
      <x:c r="B5" s="2">
        <x:v>5</x:v>
      </x:c>
      <x:c r="C5" s="2" t="s">
        <x:v>9</x:v>
      </x:c>
      <x:c r="D5" s="2" t="s">
        <x:v>7</x:v>
      </x:c>
    </x:row>
    <x:row r="6" ht="42.45000076293945">
      <x:c r="A6" s="2" t="s">
        <x:v>10</x:v>
      </x:c>
      <x:c r="B6" s="2">
        <x:v>40</x:v>
      </x:c>
      <x:c r="C6" s="2" t="s">
        <x:v>6</x:v>
      </x:c>
      <x:c r="D6" s="2" t="s">
        <x:v>11</x:v>
      </x:c>
    </x:row>
    <x:row r="7" ht="42.45000076293945">
      <x:c r="A7" s="2" t="s">
        <x:v>12</x:v>
      </x:c>
      <x:c r="B7" s="2">
        <x:v>2.5</x:v>
      </x:c>
      <x:c r="C7" s="2" t="s">
        <x:v>9</x:v>
      </x:c>
      <x:c r="D7" s="2" t="s">
        <x:v>11</x:v>
      </x:c>
    </x:row>
    <x:row r="8">
      <x:c r="A8" s="2"/>
      <x:c r="B8" s="2"/>
      <x:c r="C8" s="2"/>
      <x:c r="D8" s="2"/>
    </x:row>
    <x:row r="9" ht="56.599998474121094">
      <x:c r="A9" s="2" t="s">
        <x:v>13</x:v>
      </x:c>
      <x:c r="B9" s="2" t="s">
        <x:v>14</x:v>
      </x:c>
      <x:c r="C9" s="2"/>
      <x:c r="D9" s="2"/>
    </x:row>
    <x:row r="10" ht="28.299999237060547">
      <x:c r="A10" s="2" t="s">
        <x:v>15</x:v>
      </x:c>
      <x:c r="B10" s="7" t="s">
        <x:v>16</x:v>
      </x:c>
      <x:c r="C10" s="7"/>
      <x:c r="D10" s="7"/>
    </x:row>
    <x:row r="11">
      <x:c r="A11" s="2"/>
      <x:c r="B11" s="2"/>
      <x:c r="C11" s="2"/>
      <x:c r="D11" s="2"/>
    </x:row>
    <x:row r="12">
      <x:c r="A12" s="8" t="s">
        <x:v>17</x:v>
      </x:c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</x:sheetData>
  <x:mergeCells>
    <x:mergeCell ref="A1:D1"/>
    <x:mergeCell ref="B10:D10"/>
    <x:mergeCell ref="A12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4.149999618530273"/>
  <x:cols>
    <x:col min="1" max="1" width="75" customWidth="1"/>
    <x:col min="2" max="2" width="16" customWidth="1"/>
    <x:col min="3" max="3" width="26" customWidth="1"/>
    <x:col min="4" max="4" width="23" customWidth="1"/>
    <x:col min="5" max="5" width="17" customWidth="1"/>
    <x:col min="6" max="6" width="24" customWidth="1"/>
    <x:col min="7" max="7" width="16.140625" customWidth="1"/>
    <x:col min="8" max="8" width="11.85546875" customWidth="1"/>
    <x:col min="9" max="9" width="36" customWidth="1"/>
  </x:cols>
  <x:sheetData>
    <x:row r="1" ht="16" customHeight="1">
      <x:c r="A1" s="9" t="s">
        <x:v>18</x:v>
      </x:c>
      <x:c r="B1" s="9"/>
      <x:c r="C1" s="9"/>
      <x:c r="D1" s="9"/>
      <x:c r="E1" s="9"/>
      <x:c r="F1" s="9"/>
      <x:c r="G1" s="9"/>
      <x:c r="H1" s="9"/>
      <x:c r="I1" s="9"/>
    </x:row>
    <x:row r="2" ht="28.299999237060547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25</x:v>
      </x:c>
      <x:c r="H2" s="1" t="s">
        <x:v>26</x:v>
      </x:c>
      <x:c r="I2" s="1" t="s">
        <x:v>27</x:v>
      </x:c>
    </x:row>
    <x:row r="3" ht="42.45000076293945">
      <x:c r="A3" s="3">
        <x:v>1</x:v>
      </x:c>
      <x:c r="B3" s="2" t="s">
        <x:v>28</x:v>
      </x:c>
      <x:c r="C3" s="4" t="s">
        <x:v>29</x:v>
      </x:c>
      <x:c r="D3" s="4">
        <x:v>4.79</x:v>
      </x:c>
      <x:c r="E3" s="5">
        <x:v>44</x:v>
      </x:c>
      <x:c r="F3" s="2" t="s">
        <x:v>30</x:v>
      </x:c>
      <x:c r="G3" s="2" t="str">
        <x:f>IF(OR(E3&gt;=70,D3&gt;=5),"Высокая",IF(OR(E3&gt;=40,D3&gt;=2.5),"Средняя","Низкая"))</x:f>
        <x:v>Средняя</x:v>
      </x:c>
      <x:c r="H3" s="2" t="s">
        <x:v>31</x:v>
      </x:c>
      <x:c r="I3" s="2" t="s">
        <x:v>14</x:v>
      </x:c>
    </x:row>
    <x:row r="4" ht="42.45000076293945">
      <x:c r="A4" s="3">
        <x:v>2</x:v>
      </x:c>
      <x:c r="B4" s="2" t="s">
        <x:v>32</x:v>
      </x:c>
      <x:c r="C4" s="4" t="s">
        <x:v>33</x:v>
      </x:c>
      <x:c r="D4" s="4">
        <x:v>3.52</x:v>
      </x:c>
      <x:c r="E4" s="5">
        <x:v>39.700000000000003</x:v>
      </x:c>
      <x:c r="F4" s="2" t="s">
        <x:v>34</x:v>
      </x:c>
      <x:c r="G4" s="2" t="str">
        <x:f>IF(OR(E4&gt;=70,D4&gt;=5),"Высокая",IF(OR(E4&gt;=40,D4&gt;=2.5),"Средняя","Низкая"))</x:f>
        <x:v>Средняя</x:v>
      </x:c>
      <x:c r="H4" s="2" t="s">
        <x:v>35</x:v>
      </x:c>
      <x:c r="I4" s="2" t="s">
        <x:v>14</x:v>
      </x:c>
    </x:row>
    <x:row r="5" ht="42.45000076293945">
      <x:c r="A5" s="3">
        <x:v>3</x:v>
      </x:c>
      <x:c r="B5" s="2" t="s">
        <x:v>36</x:v>
      </x:c>
      <x:c r="C5" s="4" t="s">
        <x:v>37</x:v>
      </x:c>
      <x:c r="D5" s="4">
        <x:v>3.23</x:v>
      </x:c>
      <x:c r="E5" s="5">
        <x:v>43.8</x:v>
      </x:c>
      <x:c r="F5" s="2" t="s">
        <x:v>38</x:v>
      </x:c>
      <x:c r="G5" s="2" t="str">
        <x:f>IF(OR(E5&gt;=70,D5&gt;=5),"Высокая",IF(OR(E5&gt;=40,D5&gt;=2.5),"Средняя","Низкая"))</x:f>
        <x:v>Средняя</x:v>
      </x:c>
      <x:c r="H5" s="2" t="s">
        <x:v>39</x:v>
      </x:c>
      <x:c r="I5" s="2" t="s">
        <x:v>14</x:v>
      </x:c>
    </x:row>
    <x:row r="6" ht="42.45000076293945">
      <x:c r="A6" s="3">
        <x:v>4</x:v>
      </x:c>
      <x:c r="B6" s="2" t="s">
        <x:v>40</x:v>
      </x:c>
      <x:c r="C6" s="4" t="s">
        <x:v>41</x:v>
      </x:c>
      <x:c r="D6" s="4">
        <x:v>4.1399999999999997</x:v>
      </x:c>
      <x:c r="E6" s="5">
        <x:v>50.9</x:v>
      </x:c>
      <x:c r="F6" s="2" t="s">
        <x:v>30</x:v>
      </x:c>
      <x:c r="G6" s="2" t="str">
        <x:f>IF(OR(E6&gt;=70,D6&gt;=5),"Высокая",IF(OR(E6&gt;=40,D6&gt;=2.5),"Средняя","Низкая"))</x:f>
        <x:v>Средняя</x:v>
      </x:c>
      <x:c r="H6" s="2" t="s">
        <x:v>42</x:v>
      </x:c>
      <x:c r="I6" s="2" t="s">
        <x:v>14</x:v>
      </x:c>
    </x:row>
    <x:row r="7" ht="42.45000076293945">
      <x:c r="A7" s="3">
        <x:v>5</x:v>
      </x:c>
      <x:c r="B7" s="2" t="s">
        <x:v>40</x:v>
      </x:c>
      <x:c r="C7" s="4" t="s">
        <x:v>43</x:v>
      </x:c>
      <x:c r="D7" s="4">
        <x:v>6.24</x:v>
      </x:c>
      <x:c r="E7" s="5">
        <x:v>69.400000000000006</x:v>
      </x:c>
      <x:c r="F7" s="2" t="s">
        <x:v>34</x:v>
      </x:c>
      <x:c r="G7" s="2" t="str">
        <x:f>IF(OR(E7&gt;=70,D7&gt;=5),"Высокая",IF(OR(E7&gt;=40,D7&gt;=2.5),"Средняя","Низкая"))</x:f>
        <x:v>Высокая</x:v>
      </x:c>
      <x:c r="H7" s="2" t="s">
        <x:v>44</x:v>
      </x:c>
      <x:c r="I7" s="2" t="s">
        <x:v>14</x:v>
      </x:c>
    </x:row>
    <x:row r="8" ht="42.45000076293945">
      <x:c r="A8" s="3">
        <x:v>6</x:v>
      </x:c>
      <x:c r="B8" s="2" t="s">
        <x:v>45</x:v>
      </x:c>
      <x:c r="C8" s="4" t="s">
        <x:v>46</x:v>
      </x:c>
      <x:c r="D8" s="4">
        <x:v>4.62</x:v>
      </x:c>
      <x:c r="E8" s="5">
        <x:v>69</x:v>
      </x:c>
      <x:c r="F8" s="2" t="s">
        <x:v>38</x:v>
      </x:c>
      <x:c r="G8" s="2" t="str">
        <x:f>IF(OR(E8&gt;=70,D8&gt;=5),"Высокая",IF(OR(E8&gt;=40,D8&gt;=2.5),"Средняя","Низкая"))</x:f>
        <x:v>Средняя</x:v>
      </x:c>
      <x:c r="H8" s="2" t="s">
        <x:v>47</x:v>
      </x:c>
      <x:c r="I8" s="2" t="s">
        <x:v>14</x:v>
      </x:c>
    </x:row>
    <x:row r="9" ht="42.45000076293945">
      <x:c r="A9" s="3">
        <x:v>7</x:v>
      </x:c>
      <x:c r="B9" s="2" t="s">
        <x:v>48</x:v>
      </x:c>
      <x:c r="C9" s="4" t="s">
        <x:v>29</x:v>
      </x:c>
      <x:c r="D9" s="4">
        <x:v>3.24</x:v>
      </x:c>
      <x:c r="E9" s="5">
        <x:v>38.799999999999997</x:v>
      </x:c>
      <x:c r="F9" s="2" t="s">
        <x:v>38</x:v>
      </x:c>
      <x:c r="G9" s="2" t="str">
        <x:f>IF(OR(E9&gt;=70,D9&gt;=5),"Высокая",IF(OR(E9&gt;=40,D9&gt;=2.5),"Средняя","Низкая"))</x:f>
        <x:v>Средняя</x:v>
      </x:c>
      <x:c r="H9" s="2" t="s">
        <x:v>49</x:v>
      </x:c>
      <x:c r="I9" s="2" t="s">
        <x:v>14</x:v>
      </x:c>
    </x:row>
    <x:row r="10" ht="42.45000076293945">
      <x:c r="A10" s="3">
        <x:v>8</x:v>
      </x:c>
      <x:c r="B10" s="2" t="s">
        <x:v>28</x:v>
      </x:c>
      <x:c r="C10" s="4" t="s">
        <x:v>33</x:v>
      </x:c>
      <x:c r="D10" s="4">
        <x:v>2.65</x:v>
      </x:c>
      <x:c r="E10" s="5">
        <x:v>35.299999999999997</x:v>
      </x:c>
      <x:c r="F10" s="2" t="s">
        <x:v>30</x:v>
      </x:c>
      <x:c r="G10" s="2" t="str">
        <x:f>IF(OR(E10&gt;=70,D10&gt;=5),"Высокая",IF(OR(E10&gt;=40,D10&gt;=2.5),"Средняя","Низкая"))</x:f>
        <x:v>Средняя</x:v>
      </x:c>
      <x:c r="H10" s="2" t="s">
        <x:v>50</x:v>
      </x:c>
      <x:c r="I10" s="2" t="s">
        <x:v>14</x:v>
      </x:c>
    </x:row>
    <x:row r="11" ht="42.45000076293945">
      <x:c r="A11" s="3">
        <x:v>9</x:v>
      </x:c>
      <x:c r="B11" s="2" t="s">
        <x:v>28</x:v>
      </x:c>
      <x:c r="C11" s="4" t="s">
        <x:v>37</x:v>
      </x:c>
      <x:c r="D11" s="4">
        <x:v>4.1900000000000004</x:v>
      </x:c>
      <x:c r="E11" s="5">
        <x:v>48.3</x:v>
      </x:c>
      <x:c r="F11" s="2" t="s">
        <x:v>34</x:v>
      </x:c>
      <x:c r="G11" s="2" t="str">
        <x:f>IF(OR(E11&gt;=70,D11&gt;=5),"Высокая",IF(OR(E11&gt;=40,D11&gt;=2.5),"Средняя","Низкая"))</x:f>
        <x:v>Средняя</x:v>
      </x:c>
      <x:c r="H11" s="2" t="s">
        <x:v>51</x:v>
      </x:c>
      <x:c r="I11" s="2" t="s">
        <x:v>14</x:v>
      </x:c>
    </x:row>
    <x:row r="12" ht="42.45000076293945">
      <x:c r="A12" s="3">
        <x:v>10</x:v>
      </x:c>
      <x:c r="B12" s="2" t="s">
        <x:v>32</x:v>
      </x:c>
      <x:c r="C12" s="4" t="s">
        <x:v>41</x:v>
      </x:c>
      <x:c r="D12" s="4">
        <x:v>3.74</x:v>
      </x:c>
      <x:c r="E12" s="5">
        <x:v>49.9</x:v>
      </x:c>
      <x:c r="F12" s="2" t="s">
        <x:v>38</x:v>
      </x:c>
      <x:c r="G12" s="2" t="str">
        <x:f>IF(OR(E12&gt;=70,D12&gt;=5),"Высокая",IF(OR(E12&gt;=40,D12&gt;=2.5),"Средняя","Низкая"))</x:f>
        <x:v>Средняя</x:v>
      </x:c>
      <x:c r="H12" s="2" t="s">
        <x:v>52</x:v>
      </x:c>
      <x:c r="I12" s="2" t="s">
        <x:v>14</x:v>
      </x:c>
    </x:row>
    <x:row r="13" ht="42.45000076293945">
      <x:c r="A13" s="3">
        <x:v>11</x:v>
      </x:c>
      <x:c r="B13" s="2" t="s">
        <x:v>36</x:v>
      </x:c>
      <x:c r="C13" s="4" t="s">
        <x:v>43</x:v>
      </x:c>
      <x:c r="D13" s="4">
        <x:v>5.0599999999999996</x:v>
      </x:c>
      <x:c r="E13" s="5">
        <x:v>64.5</x:v>
      </x:c>
      <x:c r="F13" s="2" t="s">
        <x:v>30</x:v>
      </x:c>
      <x:c r="G13" s="2" t="str">
        <x:f>IF(OR(E13&gt;=70,D13&gt;=5),"Высокая",IF(OR(E13&gt;=40,D13&gt;=2.5),"Средняя","Низкая"))</x:f>
        <x:v>Высокая</x:v>
      </x:c>
      <x:c r="H13" s="2" t="s">
        <x:v>53</x:v>
      </x:c>
      <x:c r="I13" s="2" t="s">
        <x:v>14</x:v>
      </x:c>
    </x:row>
    <x:row r="14" ht="42.45000076293945">
      <x:c r="A14" s="3">
        <x:v>12</x:v>
      </x:c>
      <x:c r="B14" s="2" t="s">
        <x:v>40</x:v>
      </x:c>
      <x:c r="C14" s="4" t="s">
        <x:v>46</x:v>
      </x:c>
      <x:c r="D14" s="4">
        <x:v>4.76</x:v>
      </x:c>
      <x:c r="E14" s="5">
        <x:v>63</x:v>
      </x:c>
      <x:c r="F14" s="2" t="s">
        <x:v>34</x:v>
      </x:c>
      <x:c r="G14" s="2" t="str">
        <x:f>IF(OR(E14&gt;=70,D14&gt;=5),"Высокая",IF(OR(E14&gt;=40,D14&gt;=2.5),"Средняя","Низкая"))</x:f>
        <x:v>Средняя</x:v>
      </x:c>
      <x:c r="H14" s="2" t="s">
        <x:v>54</x:v>
      </x:c>
      <x:c r="I14" s="2" t="s">
        <x:v>14</x:v>
      </x:c>
    </x:row>
    <x:row r="15" ht="42.45000076293945">
      <x:c r="A15" s="3">
        <x:v>13</x:v>
      </x:c>
      <x:c r="B15" s="2" t="s">
        <x:v>40</x:v>
      </x:c>
      <x:c r="C15" s="4" t="s">
        <x:v>29</x:v>
      </x:c>
      <x:c r="D15" s="4">
        <x:v>3.02</x:v>
      </x:c>
      <x:c r="E15" s="5">
        <x:v>39.200000000000003</x:v>
      </x:c>
      <x:c r="F15" s="2" t="s">
        <x:v>34</x:v>
      </x:c>
      <x:c r="G15" s="2" t="str">
        <x:f>IF(OR(E15&gt;=70,D15&gt;=5),"Высокая",IF(OR(E15&gt;=40,D15&gt;=2.5),"Средняя","Низкая"))</x:f>
        <x:v>Средняя</x:v>
      </x:c>
      <x:c r="H15" s="2" t="s">
        <x:v>55</x:v>
      </x:c>
      <x:c r="I15" s="2" t="s">
        <x:v>14</x:v>
      </x:c>
    </x:row>
    <x:row r="16" ht="42.45000076293945">
      <x:c r="A16" s="3">
        <x:v>14</x:v>
      </x:c>
      <x:c r="B16" s="2" t="s">
        <x:v>45</x:v>
      </x:c>
      <x:c r="C16" s="4" t="s">
        <x:v>33</x:v>
      </x:c>
      <x:c r="D16" s="4">
        <x:v>2.61</x:v>
      </x:c>
      <x:c r="E16" s="5">
        <x:v>41.4</x:v>
      </x:c>
      <x:c r="F16" s="2" t="s">
        <x:v>38</x:v>
      </x:c>
      <x:c r="G16" s="2" t="str">
        <x:f>IF(OR(E16&gt;=70,D16&gt;=5),"Высокая",IF(OR(E16&gt;=40,D16&gt;=2.5),"Средняя","Низкая"))</x:f>
        <x:v>Средняя</x:v>
      </x:c>
      <x:c r="H16" s="2" t="s">
        <x:v>56</x:v>
      </x:c>
      <x:c r="I16" s="2" t="s">
        <x:v>14</x:v>
      </x:c>
    </x:row>
    <x:row r="17" ht="42.45000076293945">
      <x:c r="A17" s="3">
        <x:v>15</x:v>
      </x:c>
      <x:c r="B17" s="2" t="s">
        <x:v>48</x:v>
      </x:c>
      <x:c r="C17" s="4" t="s">
        <x:v>37</x:v>
      </x:c>
      <x:c r="D17" s="4">
        <x:v>3.14</x:v>
      </x:c>
      <x:c r="E17" s="5">
        <x:v>32.9</x:v>
      </x:c>
      <x:c r="F17" s="2" t="s">
        <x:v>30</x:v>
      </x:c>
      <x:c r="G17" s="2" t="str">
        <x:f>IF(OR(E17&gt;=70,D17&gt;=5),"Высокая",IF(OR(E17&gt;=40,D17&gt;=2.5),"Средняя","Низкая"))</x:f>
        <x:v>Средняя</x:v>
      </x:c>
      <x:c r="H17" s="2" t="s">
        <x:v>57</x:v>
      </x:c>
      <x:c r="I17" s="2" t="s">
        <x:v>14</x:v>
      </x:c>
    </x:row>
    <x:row r="18" ht="42.45000076293945">
      <x:c r="A18" s="3">
        <x:v>16</x:v>
      </x:c>
      <x:c r="B18" s="2" t="s">
        <x:v>28</x:v>
      </x:c>
      <x:c r="C18" s="4" t="s">
        <x:v>41</x:v>
      </x:c>
      <x:c r="D18" s="4">
        <x:v>4.4000000000000004</x:v>
      </x:c>
      <x:c r="E18" s="5">
        <x:v>60.2</x:v>
      </x:c>
      <x:c r="F18" s="2" t="s">
        <x:v>34</x:v>
      </x:c>
      <x:c r="G18" s="2" t="str">
        <x:f>IF(OR(E18&gt;=70,D18&gt;=5),"Высокая",IF(OR(E18&gt;=40,D18&gt;=2.5),"Средняя","Низкая"))</x:f>
        <x:v>Средняя</x:v>
      </x:c>
      <x:c r="H18" s="2" t="s">
        <x:v>58</x:v>
      </x:c>
      <x:c r="I18" s="2" t="s">
        <x:v>14</x:v>
      </x:c>
    </x:row>
    <x:row r="19" ht="42.45000076293945">
      <x:c r="A19" s="3">
        <x:v>17</x:v>
      </x:c>
      <x:c r="B19" s="2" t="s">
        <x:v>28</x:v>
      </x:c>
      <x:c r="C19" s="4" t="s">
        <x:v>43</x:v>
      </x:c>
      <x:c r="D19" s="4">
        <x:v>5.47</x:v>
      </x:c>
      <x:c r="E19" s="5">
        <x:v>55.4</x:v>
      </x:c>
      <x:c r="F19" s="2" t="s">
        <x:v>38</x:v>
      </x:c>
      <x:c r="G19" s="2" t="str">
        <x:f>IF(OR(E19&gt;=70,D19&gt;=5),"Высокая",IF(OR(E19&gt;=40,D19&gt;=2.5),"Средняя","Низкая"))</x:f>
        <x:v>Высокая</x:v>
      </x:c>
      <x:c r="H19" s="2" t="s">
        <x:v>59</x:v>
      </x:c>
      <x:c r="I19" s="2" t="s">
        <x:v>14</x:v>
      </x:c>
    </x:row>
    <x:row r="20" ht="42.45000076293945">
      <x:c r="A20" s="3">
        <x:v>18</x:v>
      </x:c>
      <x:c r="B20" s="2" t="s">
        <x:v>32</x:v>
      </x:c>
      <x:c r="C20" s="4" t="s">
        <x:v>46</x:v>
      </x:c>
      <x:c r="D20" s="4">
        <x:v>5.91</x:v>
      </x:c>
      <x:c r="E20" s="5">
        <x:v>77.7</x:v>
      </x:c>
      <x:c r="F20" s="2" t="s">
        <x:v>30</x:v>
      </x:c>
      <x:c r="G20" s="2" t="str">
        <x:f>IF(OR(E20&gt;=70,D20&gt;=5),"Высокая",IF(OR(E20&gt;=40,D20&gt;=2.5),"Средняя","Низкая"))</x:f>
        <x:v>Высокая</x:v>
      </x:c>
      <x:c r="H20" s="2" t="s">
        <x:v>60</x:v>
      </x:c>
      <x:c r="I20" s="2" t="s">
        <x:v>14</x:v>
      </x:c>
    </x:row>
    <x:row r="21" ht="42.45000076293945">
      <x:c r="A21" s="3">
        <x:v>19</x:v>
      </x:c>
      <x:c r="B21" s="2" t="s">
        <x:v>36</x:v>
      </x:c>
      <x:c r="C21" s="4" t="s">
        <x:v>29</x:v>
      </x:c>
      <x:c r="D21" s="4">
        <x:v>2.5099999999999998</x:v>
      </x:c>
      <x:c r="E21" s="5">
        <x:v>34.200000000000003</x:v>
      </x:c>
      <x:c r="F21" s="2" t="s">
        <x:v>30</x:v>
      </x:c>
      <x:c r="G21" s="2" t="str">
        <x:f>IF(OR(E21&gt;=70,D21&gt;=5),"Высокая",IF(OR(E21&gt;=40,D21&gt;=2.5),"Средняя","Низкая"))</x:f>
        <x:v>Средняя</x:v>
      </x:c>
      <x:c r="H21" s="2" t="s">
        <x:v>61</x:v>
      </x:c>
      <x:c r="I21" s="2" t="s">
        <x:v>14</x:v>
      </x:c>
    </x:row>
    <x:row r="22" ht="42.45000076293945">
      <x:c r="A22" s="3">
        <x:v>20</x:v>
      </x:c>
      <x:c r="B22" s="2" t="s">
        <x:v>40</x:v>
      </x:c>
      <x:c r="C22" s="4" t="s">
        <x:v>33</x:v>
      </x:c>
      <x:c r="D22" s="4">
        <x:v>3.58</x:v>
      </x:c>
      <x:c r="E22" s="5">
        <x:v>42.4</x:v>
      </x:c>
      <x:c r="F22" s="2" t="s">
        <x:v>34</x:v>
      </x:c>
      <x:c r="G22" s="2" t="str">
        <x:f>IF(OR(E22&gt;=70,D22&gt;=5),"Высокая",IF(OR(E22&gt;=40,D22&gt;=2.5),"Средняя","Низкая"))</x:f>
        <x:v>Средняя</x:v>
      </x:c>
      <x:c r="H22" s="2" t="s">
        <x:v>62</x:v>
      </x:c>
      <x:c r="I22" s="2" t="s">
        <x:v>14</x:v>
      </x:c>
    </x:row>
    <x:row r="23" ht="42.45000076293945">
      <x:c r="A23" s="3">
        <x:v>21</x:v>
      </x:c>
      <x:c r="B23" s="2" t="s">
        <x:v>40</x:v>
      </x:c>
      <x:c r="C23" s="4" t="s">
        <x:v>37</x:v>
      </x:c>
      <x:c r="D23" s="4">
        <x:v>3.05</x:v>
      </x:c>
      <x:c r="E23" s="5">
        <x:v>45.7</x:v>
      </x:c>
      <x:c r="F23" s="2" t="s">
        <x:v>38</x:v>
      </x:c>
      <x:c r="G23" s="2" t="str">
        <x:f>IF(OR(E23&gt;=70,D23&gt;=5),"Высокая",IF(OR(E23&gt;=40,D23&gt;=2.5),"Средняя","Низкая"))</x:f>
        <x:v>Средняя</x:v>
      </x:c>
      <x:c r="H23" s="2" t="s">
        <x:v>63</x:v>
      </x:c>
      <x:c r="I23" s="2" t="s">
        <x:v>14</x:v>
      </x:c>
    </x:row>
    <x:row r="24" ht="42.45000076293945">
      <x:c r="A24" s="3">
        <x:v>22</x:v>
      </x:c>
      <x:c r="B24" s="2" t="s">
        <x:v>45</x:v>
      </x:c>
      <x:c r="C24" s="4" t="s">
        <x:v>41</x:v>
      </x:c>
      <x:c r="D24" s="4">
        <x:v>3.88</x:v>
      </x:c>
      <x:c r="E24" s="5">
        <x:v>46.6</x:v>
      </x:c>
      <x:c r="F24" s="2" t="s">
        <x:v>30</x:v>
      </x:c>
      <x:c r="G24" s="2" t="str">
        <x:f>IF(OR(E24&gt;=70,D24&gt;=5),"Высокая",IF(OR(E24&gt;=40,D24&gt;=2.5),"Средняя","Низкая"))</x:f>
        <x:v>Средняя</x:v>
      </x:c>
      <x:c r="H24" s="2" t="s">
        <x:v>64</x:v>
      </x:c>
      <x:c r="I24" s="2" t="s">
        <x:v>14</x:v>
      </x:c>
    </x:row>
    <x:row r="25" ht="42.45000076293945">
      <x:c r="A25" s="3">
        <x:v>23</x:v>
      </x:c>
      <x:c r="B25" s="2" t="s">
        <x:v>48</x:v>
      </x:c>
      <x:c r="C25" s="4" t="s">
        <x:v>43</x:v>
      </x:c>
      <x:c r="D25" s="4">
        <x:v>5.7</x:v>
      </x:c>
      <x:c r="E25" s="5">
        <x:v>60.7</x:v>
      </x:c>
      <x:c r="F25" s="2" t="s">
        <x:v>34</x:v>
      </x:c>
      <x:c r="G25" s="2" t="str">
        <x:f>IF(OR(E25&gt;=70,D25&gt;=5),"Высокая",IF(OR(E25&gt;=40,D25&gt;=2.5),"Средняя","Низкая"))</x:f>
        <x:v>Высокая</x:v>
      </x:c>
      <x:c r="H25" s="2" t="s">
        <x:v>65</x:v>
      </x:c>
      <x:c r="I25" s="2" t="s">
        <x:v>14</x:v>
      </x:c>
    </x:row>
    <x:row r="26" ht="42.45000076293945">
      <x:c r="A26" s="3">
        <x:v>24</x:v>
      </x:c>
      <x:c r="B26" s="2" t="s">
        <x:v>28</x:v>
      </x:c>
      <x:c r="C26" s="4" t="s">
        <x:v>46</x:v>
      </x:c>
      <x:c r="D26" s="4">
        <x:v>4.1399999999999997</x:v>
      </x:c>
      <x:c r="E26" s="5">
        <x:v>62.6</x:v>
      </x:c>
      <x:c r="F26" s="2" t="s">
        <x:v>38</x:v>
      </x:c>
      <x:c r="G26" s="2" t="str">
        <x:f>IF(OR(E26&gt;=70,D26&gt;=5),"Высокая",IF(OR(E26&gt;=40,D26&gt;=2.5),"Средняя","Низкая"))</x:f>
        <x:v>Средняя</x:v>
      </x:c>
      <x:c r="H26" s="2" t="s">
        <x:v>66</x:v>
      </x:c>
      <x:c r="I26" s="2" t="s">
        <x:v>14</x:v>
      </x:c>
    </x:row>
    <x:row r="27" ht="42.45000076293945">
      <x:c r="A27" s="3">
        <x:v>25</x:v>
      </x:c>
      <x:c r="B27" s="2" t="s">
        <x:v>28</x:v>
      </x:c>
      <x:c r="C27" s="4" t="s">
        <x:v>29</x:v>
      </x:c>
      <x:c r="D27" s="4">
        <x:v>3.59</x:v>
      </x:c>
      <x:c r="E27" s="5">
        <x:v>36.1</x:v>
      </x:c>
      <x:c r="F27" s="2" t="s">
        <x:v>38</x:v>
      </x:c>
      <x:c r="G27" s="2" t="str">
        <x:f>IF(OR(E27&gt;=70,D27&gt;=5),"Высокая",IF(OR(E27&gt;=40,D27&gt;=2.5),"Средняя","Низкая"))</x:f>
        <x:v>Средняя</x:v>
      </x:c>
      <x:c r="H27" s="2" t="s">
        <x:v>67</x:v>
      </x:c>
      <x:c r="I27" s="2" t="s">
        <x:v>14</x:v>
      </x:c>
    </x:row>
    <x:row r="28" ht="42.45000076293945">
      <x:c r="A28" s="3">
        <x:v>26</x:v>
      </x:c>
      <x:c r="B28" s="2" t="s">
        <x:v>32</x:v>
      </x:c>
      <x:c r="C28" s="4" t="s">
        <x:v>33</x:v>
      </x:c>
      <x:c r="D28" s="4">
        <x:v>2.59</x:v>
      </x:c>
      <x:c r="E28" s="5">
        <x:v>39.700000000000003</x:v>
      </x:c>
      <x:c r="F28" s="2" t="s">
        <x:v>30</x:v>
      </x:c>
      <x:c r="G28" s="2" t="str">
        <x:f>IF(OR(E28&gt;=70,D28&gt;=5),"Высокая",IF(OR(E28&gt;=40,D28&gt;=2.5),"Средняя","Низкая"))</x:f>
        <x:v>Средняя</x:v>
      </x:c>
      <x:c r="H28" s="2" t="s">
        <x:v>68</x:v>
      </x:c>
      <x:c r="I28" s="2" t="s">
        <x:v>14</x:v>
      </x:c>
    </x:row>
    <x:row r="29" ht="42.45000076293945">
      <x:c r="A29" s="3">
        <x:v>27</x:v>
      </x:c>
      <x:c r="B29" s="2" t="s">
        <x:v>36</x:v>
      </x:c>
      <x:c r="C29" s="4" t="s">
        <x:v>37</x:v>
      </x:c>
      <x:c r="D29" s="4">
        <x:v>3.86</x:v>
      </x:c>
      <x:c r="E29" s="5">
        <x:v>61.5</x:v>
      </x:c>
      <x:c r="F29" s="2" t="s">
        <x:v>34</x:v>
      </x:c>
      <x:c r="G29" s="2" t="str">
        <x:f>IF(OR(E29&gt;=70,D29&gt;=5),"Высокая",IF(OR(E29&gt;=40,D29&gt;=2.5),"Средняя","Низкая"))</x:f>
        <x:v>Средняя</x:v>
      </x:c>
      <x:c r="H29" s="2" t="s">
        <x:v>69</x:v>
      </x:c>
      <x:c r="I29" s="2" t="s">
        <x:v>14</x:v>
      </x:c>
    </x:row>
    <x:row r="30" ht="42.45000076293945">
      <x:c r="A30" s="3">
        <x:v>28</x:v>
      </x:c>
      <x:c r="B30" s="2" t="s">
        <x:v>40</x:v>
      </x:c>
      <x:c r="C30" s="4" t="s">
        <x:v>41</x:v>
      </x:c>
      <x:c r="D30" s="4">
        <x:v>4</x:v>
      </x:c>
      <x:c r="E30" s="5">
        <x:v>46.1</x:v>
      </x:c>
      <x:c r="F30" s="2" t="s">
        <x:v>38</x:v>
      </x:c>
      <x:c r="G30" s="2" t="str">
        <x:f>IF(OR(E30&gt;=70,D30&gt;=5),"Высокая",IF(OR(E30&gt;=40,D30&gt;=2.5),"Средняя","Низкая"))</x:f>
        <x:v>Средняя</x:v>
      </x:c>
      <x:c r="H30" s="2" t="s">
        <x:v>70</x:v>
      </x:c>
      <x:c r="I30" s="2" t="s">
        <x:v>14</x:v>
      </x:c>
    </x:row>
    <x:row r="31" ht="42.45000076293945">
      <x:c r="A31" s="3">
        <x:v>29</x:v>
      </x:c>
      <x:c r="B31" s="2" t="s">
        <x:v>40</x:v>
      </x:c>
      <x:c r="C31" s="4" t="s">
        <x:v>43</x:v>
      </x:c>
      <x:c r="D31" s="4">
        <x:v>4.4400000000000004</x:v>
      </x:c>
      <x:c r="E31" s="5">
        <x:v>50.6</x:v>
      </x:c>
      <x:c r="F31" s="2" t="s">
        <x:v>30</x:v>
      </x:c>
      <x:c r="G31" s="2" t="str">
        <x:f>IF(OR(E31&gt;=70,D31&gt;=5),"Высокая",IF(OR(E31&gt;=40,D31&gt;=2.5),"Средняя","Низкая"))</x:f>
        <x:v>Средняя</x:v>
      </x:c>
      <x:c r="H31" s="2" t="s">
        <x:v>71</x:v>
      </x:c>
      <x:c r="I31" s="2" t="s">
        <x:v>14</x:v>
      </x:c>
    </x:row>
    <x:row r="32" ht="42.45000076293945">
      <x:c r="A32" s="3">
        <x:v>30</x:v>
      </x:c>
      <x:c r="B32" s="2" t="s">
        <x:v>45</x:v>
      </x:c>
      <x:c r="C32" s="4" t="s">
        <x:v>46</x:v>
      </x:c>
      <x:c r="D32" s="4">
        <x:v>5.35</x:v>
      </x:c>
      <x:c r="E32" s="5">
        <x:v>60.9</x:v>
      </x:c>
      <x:c r="F32" s="2" t="s">
        <x:v>34</x:v>
      </x:c>
      <x:c r="G32" s="2" t="str">
        <x:f>IF(OR(E32&gt;=70,D32&gt;=5),"Высокая",IF(OR(E32&gt;=40,D32&gt;=2.5),"Средняя","Низкая"))</x:f>
        <x:v>Высокая</x:v>
      </x:c>
      <x:c r="H32" s="2" t="s">
        <x:v>72</x:v>
      </x:c>
      <x:c r="I32" s="2" t="s">
        <x:v>14</x:v>
      </x:c>
    </x:row>
    <x:row r="33" ht="42.45000076293945">
      <x:c r="A33" s="3">
        <x:v>31</x:v>
      </x:c>
      <x:c r="B33" s="2" t="s">
        <x:v>48</x:v>
      </x:c>
      <x:c r="C33" s="4" t="s">
        <x:v>29</x:v>
      </x:c>
      <x:c r="D33" s="4">
        <x:v>2.5099999999999998</x:v>
      </x:c>
      <x:c r="E33" s="5">
        <x:v>31.9</x:v>
      </x:c>
      <x:c r="F33" s="2" t="s">
        <x:v>34</x:v>
      </x:c>
      <x:c r="G33" s="2" t="str">
        <x:f>IF(OR(E33&gt;=70,D33&gt;=5),"Высокая",IF(OR(E33&gt;=40,D33&gt;=2.5),"Средняя","Низкая"))</x:f>
        <x:v>Средняя</x:v>
      </x:c>
      <x:c r="H33" s="2" t="s">
        <x:v>73</x:v>
      </x:c>
      <x:c r="I33" s="2" t="s">
        <x:v>14</x:v>
      </x:c>
    </x:row>
    <x:row r="34" ht="42.45000076293945">
      <x:c r="A34" s="3">
        <x:v>32</x:v>
      </x:c>
      <x:c r="B34" s="2" t="s">
        <x:v>28</x:v>
      </x:c>
      <x:c r="C34" s="4" t="s">
        <x:v>33</x:v>
      </x:c>
      <x:c r="D34" s="4">
        <x:v>2.23</x:v>
      </x:c>
      <x:c r="E34" s="5">
        <x:v>34.5</x:v>
      </x:c>
      <x:c r="F34" s="2" t="s">
        <x:v>38</x:v>
      </x:c>
      <x:c r="G34" s="2" t="str">
        <x:f>IF(OR(E34&gt;=70,D34&gt;=5),"Высокая",IF(OR(E34&gt;=40,D34&gt;=2.5),"Средняя","Низкая"))</x:f>
        <x:v>Низкая</x:v>
      </x:c>
      <x:c r="H34" s="2" t="s">
        <x:v>74</x:v>
      </x:c>
      <x:c r="I34" s="2" t="s">
        <x:v>14</x:v>
      </x:c>
    </x:row>
    <x:row r="35" ht="42.45000076293945">
      <x:c r="A35" s="3">
        <x:v>33</x:v>
      </x:c>
      <x:c r="B35" s="2" t="s">
        <x:v>28</x:v>
      </x:c>
      <x:c r="C35" s="4" t="s">
        <x:v>37</x:v>
      </x:c>
      <x:c r="D35" s="4">
        <x:v>3.89</x:v>
      </x:c>
      <x:c r="E35" s="5">
        <x:v>46.6</x:v>
      </x:c>
      <x:c r="F35" s="2" t="s">
        <x:v>30</x:v>
      </x:c>
      <x:c r="G35" s="2" t="str">
        <x:f>IF(OR(E35&gt;=70,D35&gt;=5),"Высокая",IF(OR(E35&gt;=40,D35&gt;=2.5),"Средняя","Низкая"))</x:f>
        <x:v>Средняя</x:v>
      </x:c>
      <x:c r="H35" s="2" t="s">
        <x:v>75</x:v>
      </x:c>
      <x:c r="I35" s="2" t="s">
        <x:v>14</x:v>
      </x:c>
    </x:row>
    <x:row r="36" ht="42.45000076293945">
      <x:c r="A36" s="3">
        <x:v>34</x:v>
      </x:c>
      <x:c r="B36" s="2" t="s">
        <x:v>32</x:v>
      </x:c>
      <x:c r="C36" s="4" t="s">
        <x:v>41</x:v>
      </x:c>
      <x:c r="D36" s="4">
        <x:v>5.58</x:v>
      </x:c>
      <x:c r="E36" s="5">
        <x:v>61.2</x:v>
      </x:c>
      <x:c r="F36" s="2" t="s">
        <x:v>34</x:v>
      </x:c>
      <x:c r="G36" s="2" t="str">
        <x:f>IF(OR(E36&gt;=70,D36&gt;=5),"Высокая",IF(OR(E36&gt;=40,D36&gt;=2.5),"Средняя","Низкая"))</x:f>
        <x:v>Высокая</x:v>
      </x:c>
      <x:c r="H36" s="2" t="s">
        <x:v>76</x:v>
      </x:c>
      <x:c r="I36" s="2" t="s">
        <x:v>14</x:v>
      </x:c>
    </x:row>
    <x:row r="37" ht="42.45000076293945">
      <x:c r="A37" s="3">
        <x:v>35</x:v>
      </x:c>
      <x:c r="B37" s="2" t="s">
        <x:v>36</x:v>
      </x:c>
      <x:c r="C37" s="4" t="s">
        <x:v>43</x:v>
      </x:c>
      <x:c r="D37" s="4">
        <x:v>5.96</x:v>
      </x:c>
      <x:c r="E37" s="5">
        <x:v>75</x:v>
      </x:c>
      <x:c r="F37" s="2" t="s">
        <x:v>38</x:v>
      </x:c>
      <x:c r="G37" s="2" t="str">
        <x:f>IF(OR(E37&gt;=70,D37&gt;=5),"Высокая",IF(OR(E37&gt;=40,D37&gt;=2.5),"Средняя","Низкая"))</x:f>
        <x:v>Высокая</x:v>
      </x:c>
      <x:c r="H37" s="2" t="s">
        <x:v>77</x:v>
      </x:c>
      <x:c r="I37" s="2" t="s">
        <x:v>14</x:v>
      </x:c>
    </x:row>
    <x:row r="38" ht="42.45000076293945">
      <x:c r="A38" s="3">
        <x:v>36</x:v>
      </x:c>
      <x:c r="B38" s="2" t="s">
        <x:v>40</x:v>
      </x:c>
      <x:c r="C38" s="4" t="s">
        <x:v>46</x:v>
      </x:c>
      <x:c r="D38" s="4">
        <x:v>4.07</x:v>
      </x:c>
      <x:c r="E38" s="5">
        <x:v>53.9</x:v>
      </x:c>
      <x:c r="F38" s="2" t="s">
        <x:v>30</x:v>
      </x:c>
      <x:c r="G38" s="2" t="str">
        <x:f>IF(OR(E38&gt;=70,D38&gt;=5),"Высокая",IF(OR(E38&gt;=40,D38&gt;=2.5),"Средняя","Низкая"))</x:f>
        <x:v>Средняя</x:v>
      </x:c>
      <x:c r="H38" s="2" t="s">
        <x:v>78</x:v>
      </x:c>
      <x:c r="I38" s="2" t="s">
        <x:v>14</x:v>
      </x:c>
    </x:row>
    <x:row r="39" ht="42.45000076293945">
      <x:c r="A39" s="3">
        <x:v>37</x:v>
      </x:c>
      <x:c r="B39" s="2" t="s">
        <x:v>40</x:v>
      </x:c>
      <x:c r="C39" s="4" t="s">
        <x:v>29</x:v>
      </x:c>
      <x:c r="D39" s="4">
        <x:v>2.8</x:v>
      </x:c>
      <x:c r="E39" s="5">
        <x:v>25.2</x:v>
      </x:c>
      <x:c r="F39" s="2" t="s">
        <x:v>30</x:v>
      </x:c>
      <x:c r="G39" s="2" t="str">
        <x:f>IF(OR(E39&gt;=70,D39&gt;=5),"Высокая",IF(OR(E39&gt;=40,D39&gt;=2.5),"Средняя","Низкая"))</x:f>
        <x:v>Средняя</x:v>
      </x:c>
      <x:c r="H39" s="2" t="s">
        <x:v>79</x:v>
      </x:c>
      <x:c r="I39" s="2" t="s">
        <x:v>14</x:v>
      </x:c>
    </x:row>
    <x:row r="40" ht="42.45000076293945">
      <x:c r="A40" s="3">
        <x:v>38</x:v>
      </x:c>
      <x:c r="B40" s="2" t="s">
        <x:v>45</x:v>
      </x:c>
      <x:c r="C40" s="4" t="s">
        <x:v>33</x:v>
      </x:c>
      <x:c r="D40" s="4">
        <x:v>2.4300000000000002</x:v>
      </x:c>
      <x:c r="E40" s="5">
        <x:v>41.4</x:v>
      </x:c>
      <x:c r="F40" s="2" t="s">
        <x:v>34</x:v>
      </x:c>
      <x:c r="G40" s="2" t="str">
        <x:f>IF(OR(E40&gt;=70,D40&gt;=5),"Высокая",IF(OR(E40&gt;=40,D40&gt;=2.5),"Средняя","Низкая"))</x:f>
        <x:v>Средняя</x:v>
      </x:c>
      <x:c r="H40" s="2" t="s">
        <x:v>80</x:v>
      </x:c>
      <x:c r="I40" s="2" t="s">
        <x:v>14</x:v>
      </x:c>
    </x:row>
    <x:row r="41" ht="42.45000076293945">
      <x:c r="A41" s="3">
        <x:v>39</x:v>
      </x:c>
      <x:c r="B41" s="2" t="s">
        <x:v>48</x:v>
      </x:c>
      <x:c r="C41" s="4" t="s">
        <x:v>37</x:v>
      </x:c>
      <x:c r="D41" s="4">
        <x:v>4.46</x:v>
      </x:c>
      <x:c r="E41" s="5">
        <x:v>46.7</x:v>
      </x:c>
      <x:c r="F41" s="2" t="s">
        <x:v>38</x:v>
      </x:c>
      <x:c r="G41" s="2" t="str">
        <x:f>IF(OR(E41&gt;=70,D41&gt;=5),"Высокая",IF(OR(E41&gt;=40,D41&gt;=2.5),"Средняя","Низкая"))</x:f>
        <x:v>Средняя</x:v>
      </x:c>
      <x:c r="H41" s="2" t="s">
        <x:v>81</x:v>
      </x:c>
      <x:c r="I41" s="2" t="s">
        <x:v>14</x:v>
      </x:c>
    </x:row>
    <x:row r="42" ht="42.45000076293945">
      <x:c r="A42" s="3">
        <x:v>40</x:v>
      </x:c>
      <x:c r="B42" s="2" t="s">
        <x:v>28</x:v>
      </x:c>
      <x:c r="C42" s="4" t="s">
        <x:v>41</x:v>
      </x:c>
      <x:c r="D42" s="4">
        <x:v>5.79</x:v>
      </x:c>
      <x:c r="E42" s="5">
        <x:v>71.7</x:v>
      </x:c>
      <x:c r="F42" s="2" t="s">
        <x:v>30</x:v>
      </x:c>
      <x:c r="G42" s="2" t="str">
        <x:f>IF(OR(E42&gt;=70,D42&gt;=5),"Высокая",IF(OR(E42&gt;=40,D42&gt;=2.5),"Средняя","Низкая"))</x:f>
        <x:v>Высокая</x:v>
      </x:c>
      <x:c r="H42" s="2" t="s">
        <x:v>82</x:v>
      </x:c>
      <x:c r="I42" s="2" t="s">
        <x:v>14</x:v>
      </x:c>
    </x:row>
    <x:row r="43" ht="42.45000076293945">
      <x:c r="A43" s="3">
        <x:v>41</x:v>
      </x:c>
      <x:c r="B43" s="2" t="s">
        <x:v>28</x:v>
      </x:c>
      <x:c r="C43" s="4" t="s">
        <x:v>43</x:v>
      </x:c>
      <x:c r="D43" s="4">
        <x:v>5.3</x:v>
      </x:c>
      <x:c r="E43" s="5">
        <x:v>64.8</x:v>
      </x:c>
      <x:c r="F43" s="2" t="s">
        <x:v>34</x:v>
      </x:c>
      <x:c r="G43" s="2" t="str">
        <x:f>IF(OR(E43&gt;=70,D43&gt;=5),"Высокая",IF(OR(E43&gt;=40,D43&gt;=2.5),"Средняя","Низкая"))</x:f>
        <x:v>Высокая</x:v>
      </x:c>
      <x:c r="H43" s="2" t="s">
        <x:v>83</x:v>
      </x:c>
      <x:c r="I43" s="2" t="s">
        <x:v>14</x:v>
      </x:c>
    </x:row>
    <x:row r="44" ht="42.45000076293945">
      <x:c r="A44" s="3">
        <x:v>42</x:v>
      </x:c>
      <x:c r="B44" s="2" t="s">
        <x:v>32</x:v>
      </x:c>
      <x:c r="C44" s="4" t="s">
        <x:v>46</x:v>
      </x:c>
      <x:c r="D44" s="4">
        <x:v>5.14</x:v>
      </x:c>
      <x:c r="E44" s="5">
        <x:v>61</x:v>
      </x:c>
      <x:c r="F44" s="2" t="s">
        <x:v>38</x:v>
      </x:c>
      <x:c r="G44" s="2" t="str">
        <x:f>IF(OR(E44&gt;=70,D44&gt;=5),"Высокая",IF(OR(E44&gt;=40,D44&gt;=2.5),"Средняя","Низкая"))</x:f>
        <x:v>Высокая</x:v>
      </x:c>
      <x:c r="H44" s="2" t="s">
        <x:v>84</x:v>
      </x:c>
      <x:c r="I44" s="2" t="s">
        <x:v>14</x:v>
      </x:c>
    </x:row>
    <x:row r="45" ht="42.45000076293945">
      <x:c r="A45" s="3">
        <x:v>43</x:v>
      </x:c>
      <x:c r="B45" s="2" t="s">
        <x:v>36</x:v>
      </x:c>
      <x:c r="C45" s="4" t="s">
        <x:v>29</x:v>
      </x:c>
      <x:c r="D45" s="4">
        <x:v>3</x:v>
      </x:c>
      <x:c r="E45" s="5">
        <x:v>34.9</x:v>
      </x:c>
      <x:c r="F45" s="2" t="s">
        <x:v>38</x:v>
      </x:c>
      <x:c r="G45" s="2" t="str">
        <x:f>IF(OR(E45&gt;=70,D45&gt;=5),"Высокая",IF(OR(E45&gt;=40,D45&gt;=2.5),"Средняя","Низкая"))</x:f>
        <x:v>Средняя</x:v>
      </x:c>
      <x:c r="H45" s="2" t="s">
        <x:v>85</x:v>
      </x:c>
      <x:c r="I45" s="2" t="s">
        <x:v>14</x:v>
      </x:c>
    </x:row>
    <x:row r="46" ht="42.45000076293945">
      <x:c r="A46" s="3">
        <x:v>44</x:v>
      </x:c>
      <x:c r="B46" s="2" t="s">
        <x:v>40</x:v>
      </x:c>
      <x:c r="C46" s="4" t="s">
        <x:v>33</x:v>
      </x:c>
      <x:c r="D46" s="4">
        <x:v>3.43</x:v>
      </x:c>
      <x:c r="E46" s="5">
        <x:v>41.2</x:v>
      </x:c>
      <x:c r="F46" s="2" t="s">
        <x:v>30</x:v>
      </x:c>
      <x:c r="G46" s="2" t="str">
        <x:f>IF(OR(E46&gt;=70,D46&gt;=5),"Высокая",IF(OR(E46&gt;=40,D46&gt;=2.5),"Средняя","Низкая"))</x:f>
        <x:v>Средняя</x:v>
      </x:c>
      <x:c r="H46" s="2" t="s">
        <x:v>86</x:v>
      </x:c>
      <x:c r="I46" s="2" t="s">
        <x:v>14</x:v>
      </x:c>
    </x:row>
    <x:row r="47" ht="42.45000076293945">
      <x:c r="A47" s="3">
        <x:v>45</x:v>
      </x:c>
      <x:c r="B47" s="2" t="s">
        <x:v>40</x:v>
      </x:c>
      <x:c r="C47" s="4" t="s">
        <x:v>37</x:v>
      </x:c>
      <x:c r="D47" s="4">
        <x:v>3.25</x:v>
      </x:c>
      <x:c r="E47" s="5">
        <x:v>51.6</x:v>
      </x:c>
      <x:c r="F47" s="2" t="s">
        <x:v>34</x:v>
      </x:c>
      <x:c r="G47" s="2" t="str">
        <x:f>IF(OR(E47&gt;=70,D47&gt;=5),"Высокая",IF(OR(E47&gt;=40,D47&gt;=2.5),"Средняя","Низкая"))</x:f>
        <x:v>Средняя</x:v>
      </x:c>
      <x:c r="H47" s="2" t="s">
        <x:v>87</x:v>
      </x:c>
      <x:c r="I47" s="2" t="s">
        <x:v>14</x:v>
      </x:c>
    </x:row>
    <x:row r="48" ht="42.45000076293945">
      <x:c r="A48" s="3">
        <x:v>46</x:v>
      </x:c>
      <x:c r="B48" s="2" t="s">
        <x:v>45</x:v>
      </x:c>
      <x:c r="C48" s="4" t="s">
        <x:v>41</x:v>
      </x:c>
      <x:c r="D48" s="4">
        <x:v>4.4800000000000004</x:v>
      </x:c>
      <x:c r="E48" s="5">
        <x:v>62.3</x:v>
      </x:c>
      <x:c r="F48" s="2" t="s">
        <x:v>38</x:v>
      </x:c>
      <x:c r="G48" s="2" t="str">
        <x:f>IF(OR(E48&gt;=70,D48&gt;=5),"Высокая",IF(OR(E48&gt;=40,D48&gt;=2.5),"Средняя","Низкая"))</x:f>
        <x:v>Средняя</x:v>
      </x:c>
      <x:c r="H48" s="2" t="s">
        <x:v>88</x:v>
      </x:c>
      <x:c r="I48" s="2" t="s">
        <x:v>14</x:v>
      </x:c>
    </x:row>
    <x:row r="49" ht="42.45000076293945">
      <x:c r="A49" s="3">
        <x:v>47</x:v>
      </x:c>
      <x:c r="B49" s="2" t="s">
        <x:v>48</x:v>
      </x:c>
      <x:c r="C49" s="4" t="s">
        <x:v>43</x:v>
      </x:c>
      <x:c r="D49" s="4">
        <x:v>3.93</x:v>
      </x:c>
      <x:c r="E49" s="5">
        <x:v>50.1</x:v>
      </x:c>
      <x:c r="F49" s="2" t="s">
        <x:v>30</x:v>
      </x:c>
      <x:c r="G49" s="2" t="str">
        <x:f>IF(OR(E49&gt;=70,D49&gt;=5),"Высокая",IF(OR(E49&gt;=40,D49&gt;=2.5),"Средняя","Низкая"))</x:f>
        <x:v>Средняя</x:v>
      </x:c>
      <x:c r="H49" s="2" t="s">
        <x:v>89</x:v>
      </x:c>
      <x:c r="I49" s="2" t="s">
        <x:v>14</x:v>
      </x:c>
    </x:row>
    <x:row r="50" ht="42.45000076293945">
      <x:c r="A50" s="3">
        <x:v>48</x:v>
      </x:c>
      <x:c r="B50" s="2" t="s">
        <x:v>28</x:v>
      </x:c>
      <x:c r="C50" s="4" t="s">
        <x:v>46</x:v>
      </x:c>
      <x:c r="D50" s="4">
        <x:v>5.01</x:v>
      </x:c>
      <x:c r="E50" s="5">
        <x:v>61.2</x:v>
      </x:c>
      <x:c r="F50" s="2" t="s">
        <x:v>34</x:v>
      </x:c>
      <x:c r="G50" s="2" t="str">
        <x:f>IF(OR(E50&gt;=70,D50&gt;=5),"Высокая",IF(OR(E50&gt;=40,D50&gt;=2.5),"Средняя","Низкая"))</x:f>
        <x:v>Высокая</x:v>
      </x:c>
      <x:c r="H50" s="2" t="s">
        <x:v>90</x:v>
      </x:c>
      <x:c r="I50" s="2" t="s">
        <x:v>14</x:v>
      </x:c>
    </x:row>
    <x:row r="51" ht="42.45000076293945">
      <x:c r="A51" s="3">
        <x:v>49</x:v>
      </x:c>
      <x:c r="B51" s="2" t="s">
        <x:v>28</x:v>
      </x:c>
      <x:c r="C51" s="4" t="s">
        <x:v>29</x:v>
      </x:c>
      <x:c r="D51" s="4">
        <x:v>2.2799999999999998</x:v>
      </x:c>
      <x:c r="E51" s="5">
        <x:v>33.1</x:v>
      </x:c>
      <x:c r="F51" s="2" t="s">
        <x:v>34</x:v>
      </x:c>
      <x:c r="G51" s="2" t="str">
        <x:f>IF(OR(E51&gt;=70,D51&gt;=5),"Высокая",IF(OR(E51&gt;=40,D51&gt;=2.5),"Средняя","Низкая"))</x:f>
        <x:v>Низкая</x:v>
      </x:c>
      <x:c r="H51" s="2" t="s">
        <x:v>91</x:v>
      </x:c>
      <x:c r="I51" s="2" t="s">
        <x:v>14</x:v>
      </x:c>
    </x:row>
    <x:row r="52" ht="42.45000076293945">
      <x:c r="A52" s="3">
        <x:v>50</x:v>
      </x:c>
      <x:c r="B52" s="2" t="s">
        <x:v>32</x:v>
      </x:c>
      <x:c r="C52" s="4" t="s">
        <x:v>33</x:v>
      </x:c>
      <x:c r="D52" s="4">
        <x:v>2.76</x:v>
      </x:c>
      <x:c r="E52" s="5">
        <x:v>32.6</x:v>
      </x:c>
      <x:c r="F52" s="2" t="s">
        <x:v>38</x:v>
      </x:c>
      <x:c r="G52" s="2" t="str">
        <x:f>IF(OR(E52&gt;=70,D52&gt;=5),"Высокая",IF(OR(E52&gt;=40,D52&gt;=2.5),"Средняя","Низкая"))</x:f>
        <x:v>Средняя</x:v>
      </x:c>
      <x:c r="H52" s="2" t="s">
        <x:v>92</x:v>
      </x:c>
      <x:c r="I52" s="2" t="s">
        <x:v>14</x:v>
      </x:c>
    </x:row>
    <x:row r="53" ht="42.45000076293945">
      <x:c r="A53" s="3">
        <x:v>51</x:v>
      </x:c>
      <x:c r="B53" s="2" t="s">
        <x:v>36</x:v>
      </x:c>
      <x:c r="C53" s="4" t="s">
        <x:v>37</x:v>
      </x:c>
      <x:c r="D53" s="4">
        <x:v>2.54</x:v>
      </x:c>
      <x:c r="E53" s="5">
        <x:v>38.200000000000003</x:v>
      </x:c>
      <x:c r="F53" s="2" t="s">
        <x:v>30</x:v>
      </x:c>
      <x:c r="G53" s="2" t="str">
        <x:f>IF(OR(E53&gt;=70,D53&gt;=5),"Высокая",IF(OR(E53&gt;=40,D53&gt;=2.5),"Средняя","Низкая"))</x:f>
        <x:v>Средняя</x:v>
      </x:c>
      <x:c r="H53" s="2" t="s">
        <x:v>93</x:v>
      </x:c>
      <x:c r="I53" s="2" t="s">
        <x:v>14</x:v>
      </x:c>
    </x:row>
    <x:row r="54" ht="42.45000076293945">
      <x:c r="A54" s="3">
        <x:v>52</x:v>
      </x:c>
      <x:c r="B54" s="2" t="s">
        <x:v>40</x:v>
      </x:c>
      <x:c r="C54" s="4" t="s">
        <x:v>41</x:v>
      </x:c>
      <x:c r="D54" s="4">
        <x:v>5.2</x:v>
      </x:c>
      <x:c r="E54" s="5">
        <x:v>73.599999999999994</x:v>
      </x:c>
      <x:c r="F54" s="2" t="s">
        <x:v>34</x:v>
      </x:c>
      <x:c r="G54" s="2" t="str">
        <x:f>IF(OR(E54&gt;=70,D54&gt;=5),"Высокая",IF(OR(E54&gt;=40,D54&gt;=2.5),"Средняя","Низкая"))</x:f>
        <x:v>Высокая</x:v>
      </x:c>
      <x:c r="H54" s="2" t="s">
        <x:v>94</x:v>
      </x:c>
      <x:c r="I54" s="2" t="s">
        <x:v>14</x:v>
      </x:c>
    </x:row>
    <x:row r="55" ht="42.45000076293945">
      <x:c r="A55" s="3">
        <x:v>53</x:v>
      </x:c>
      <x:c r="B55" s="2" t="s">
        <x:v>40</x:v>
      </x:c>
      <x:c r="C55" s="4" t="s">
        <x:v>43</x:v>
      </x:c>
      <x:c r="D55" s="4">
        <x:v>5.46</x:v>
      </x:c>
      <x:c r="E55" s="5">
        <x:v>76.2</x:v>
      </x:c>
      <x:c r="F55" s="2" t="s">
        <x:v>38</x:v>
      </x:c>
      <x:c r="G55" s="2" t="str">
        <x:f>IF(OR(E55&gt;=70,D55&gt;=5),"Высокая",IF(OR(E55&gt;=40,D55&gt;=2.5),"Средняя","Низкая"))</x:f>
        <x:v>Высокая</x:v>
      </x:c>
      <x:c r="H55" s="2" t="s">
        <x:v>95</x:v>
      </x:c>
      <x:c r="I55" s="2" t="s">
        <x:v>14</x:v>
      </x:c>
    </x:row>
    <x:row r="56" ht="42.45000076293945">
      <x:c r="A56" s="3">
        <x:v>54</x:v>
      </x:c>
      <x:c r="B56" s="2" t="s">
        <x:v>45</x:v>
      </x:c>
      <x:c r="C56" s="4" t="s">
        <x:v>46</x:v>
      </x:c>
      <x:c r="D56" s="4">
        <x:v>4.3899999999999997</x:v>
      </x:c>
      <x:c r="E56" s="5">
        <x:v>62.8</x:v>
      </x:c>
      <x:c r="F56" s="2" t="s">
        <x:v>30</x:v>
      </x:c>
      <x:c r="G56" s="2" t="str">
        <x:f>IF(OR(E56&gt;=70,D56&gt;=5),"Высокая",IF(OR(E56&gt;=40,D56&gt;=2.5),"Средняя","Низкая"))</x:f>
        <x:v>Средняя</x:v>
      </x:c>
      <x:c r="H56" s="2" t="s">
        <x:v>96</x:v>
      </x:c>
      <x:c r="I56" s="2" t="s">
        <x:v>14</x:v>
      </x:c>
    </x:row>
    <x:row r="57" ht="42.45000076293945">
      <x:c r="A57" s="3">
        <x:v>55</x:v>
      </x:c>
      <x:c r="B57" s="2" t="s">
        <x:v>48</x:v>
      </x:c>
      <x:c r="C57" s="4" t="s">
        <x:v>29</x:v>
      </x:c>
      <x:c r="D57" s="4">
        <x:v>2.7</x:v>
      </x:c>
      <x:c r="E57" s="5">
        <x:v>32.200000000000003</x:v>
      </x:c>
      <x:c r="F57" s="2" t="s">
        <x:v>30</x:v>
      </x:c>
      <x:c r="G57" s="2" t="str">
        <x:f>IF(OR(E57&gt;=70,D57&gt;=5),"Высокая",IF(OR(E57&gt;=40,D57&gt;=2.5),"Средняя","Низкая"))</x:f>
        <x:v>Средняя</x:v>
      </x:c>
      <x:c r="H57" s="2" t="s">
        <x:v>97</x:v>
      </x:c>
      <x:c r="I57" s="2" t="s">
        <x:v>14</x:v>
      </x:c>
    </x:row>
    <x:row r="58" ht="42.45000076293945">
      <x:c r="A58" s="3">
        <x:v>56</x:v>
      </x:c>
      <x:c r="B58" s="2" t="s">
        <x:v>28</x:v>
      </x:c>
      <x:c r="C58" s="4" t="s">
        <x:v>33</x:v>
      </x:c>
      <x:c r="D58" s="4">
        <x:v>2.48</x:v>
      </x:c>
      <x:c r="E58" s="5">
        <x:v>37.1</x:v>
      </x:c>
      <x:c r="F58" s="2" t="s">
        <x:v>34</x:v>
      </x:c>
      <x:c r="G58" s="2" t="str">
        <x:f>IF(OR(E58&gt;=70,D58&gt;=5),"Высокая",IF(OR(E58&gt;=40,D58&gt;=2.5),"Средняя","Низкая"))</x:f>
        <x:v>Низкая</x:v>
      </x:c>
      <x:c r="H58" s="2" t="s">
        <x:v>98</x:v>
      </x:c>
      <x:c r="I58" s="2" t="s">
        <x:v>14</x:v>
      </x:c>
    </x:row>
    <x:row r="59" ht="42.45000076293945">
      <x:c r="A59" s="3">
        <x:v>57</x:v>
      </x:c>
      <x:c r="B59" s="2" t="s">
        <x:v>28</x:v>
      </x:c>
      <x:c r="C59" s="4" t="s">
        <x:v>37</x:v>
      </x:c>
      <x:c r="D59" s="4">
        <x:v>2.2999999999999998</x:v>
      </x:c>
      <x:c r="E59" s="5">
        <x:v>38.4</x:v>
      </x:c>
      <x:c r="F59" s="2" t="s">
        <x:v>38</x:v>
      </x:c>
      <x:c r="G59" s="2" t="str">
        <x:f>IF(OR(E59&gt;=70,D59&gt;=5),"Высокая",IF(OR(E59&gt;=40,D59&gt;=2.5),"Средняя","Низкая"))</x:f>
        <x:v>Низкая</x:v>
      </x:c>
      <x:c r="H59" s="2" t="s">
        <x:v>99</x:v>
      </x:c>
      <x:c r="I59" s="2" t="s">
        <x:v>14</x:v>
      </x:c>
    </x:row>
    <x:row r="60" ht="42.45000076293945">
      <x:c r="A60" s="3">
        <x:v>58</x:v>
      </x:c>
      <x:c r="B60" s="2" t="s">
        <x:v>32</x:v>
      </x:c>
      <x:c r="C60" s="4" t="s">
        <x:v>41</x:v>
      </x:c>
      <x:c r="D60" s="4">
        <x:v>5.41</x:v>
      </x:c>
      <x:c r="E60" s="5">
        <x:v>49.6</x:v>
      </x:c>
      <x:c r="F60" s="2" t="s">
        <x:v>30</x:v>
      </x:c>
      <x:c r="G60" s="2" t="str">
        <x:f>IF(OR(E60&gt;=70,D60&gt;=5),"Высокая",IF(OR(E60&gt;=40,D60&gt;=2.5),"Средняя","Низкая"))</x:f>
        <x:v>Высокая</x:v>
      </x:c>
      <x:c r="H60" s="2" t="s">
        <x:v>100</x:v>
      </x:c>
      <x:c r="I60" s="2" t="s">
        <x:v>14</x:v>
      </x:c>
    </x:row>
    <x:row r="61" ht="42.45000076293945">
      <x:c r="A61" s="3">
        <x:v>59</x:v>
      </x:c>
      <x:c r="B61" s="2" t="s">
        <x:v>36</x:v>
      </x:c>
      <x:c r="C61" s="4" t="s">
        <x:v>43</x:v>
      </x:c>
      <x:c r="D61" s="4">
        <x:v>4.29</x:v>
      </x:c>
      <x:c r="E61" s="5">
        <x:v>55.9</x:v>
      </x:c>
      <x:c r="F61" s="2" t="s">
        <x:v>34</x:v>
      </x:c>
      <x:c r="G61" s="2" t="str">
        <x:f>IF(OR(E61&gt;=70,D61&gt;=5),"Высокая",IF(OR(E61&gt;=40,D61&gt;=2.5),"Средняя","Низкая"))</x:f>
        <x:v>Средняя</x:v>
      </x:c>
      <x:c r="H61" s="2" t="s">
        <x:v>101</x:v>
      </x:c>
      <x:c r="I61" s="2" t="s">
        <x:v>14</x:v>
      </x:c>
    </x:row>
    <x:row r="62" ht="42.45000076293945">
      <x:c r="A62" s="3">
        <x:v>60</x:v>
      </x:c>
      <x:c r="B62" s="2" t="s">
        <x:v>40</x:v>
      </x:c>
      <x:c r="C62" s="4" t="s">
        <x:v>46</x:v>
      </x:c>
      <x:c r="D62" s="4">
        <x:v>5.5</x:v>
      </x:c>
      <x:c r="E62" s="5">
        <x:v>64</x:v>
      </x:c>
      <x:c r="F62" s="2" t="s">
        <x:v>38</x:v>
      </x:c>
      <x:c r="G62" s="2" t="str">
        <x:f>IF(OR(E62&gt;=70,D62&gt;=5),"Высокая",IF(OR(E62&gt;=40,D62&gt;=2.5),"Средняя","Низкая"))</x:f>
        <x:v>Высокая</x:v>
      </x:c>
      <x:c r="H62" s="2" t="s">
        <x:v>102</x:v>
      </x:c>
      <x:c r="I62" s="2" t="s">
        <x:v>14</x:v>
      </x:c>
    </x:row>
  </x:sheetData>
  <x:mergeCells>
    <x:mergeCell ref="A1:I1"/>
  </x:mergeCells>
  <x:conditionalFormatting sqref="G3:G62">
    <x:cfRule type="expression" dxfId="5" priority="1">
      <x:formula>G3="Высокая"</x:formula>
    </x:cfRule>
    <x:cfRule type="expression" dxfId="4" priority="2">
      <x:formula>G3="Средняя"</x:formula>
    </x:cfRule>
    <x:cfRule type="expression" dxfId="3" priority="3">
      <x:formula>G3="Низкая"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56935a0f1d46cc"/>
  </x:tableParts>
</x:worksheet>
</file>

<file path=xl/worksheets/sheet3.xml><?xml version="1.0" encoding="utf-8"?>
<x:worksheet xmlns:x="http://schemas.openxmlformats.org/spreadsheetml/2006/main">
  <x:sheetFormatPr defaultRowHeight="14.149999618530273"/>
  <x:cols>
    <x:col min="1" max="1" width="20" customWidth="1"/>
    <x:col min="2" max="2" width="34" customWidth="1"/>
    <x:col min="3" max="5" width="20" customWidth="1"/>
    <x:col min="6" max="6" width="30" customWidth="1"/>
    <x:col min="7" max="7" width="46" customWidth="1"/>
  </x:cols>
  <x:sheetData>
    <x:row r="1" ht="16" customHeight="1">
      <x:c r="A1" s="9" t="s">
        <x:v>103</x:v>
      </x:c>
      <x:c r="B1" s="9"/>
      <x:c r="C1" s="9"/>
      <x:c r="D1" s="9"/>
      <x:c r="E1" s="9"/>
      <x:c r="F1" s="9"/>
      <x:c r="G1" s="9"/>
    </x:row>
    <x:row r="3" ht="28.299999237060547">
      <x:c r="A3" s="1" t="s">
        <x:v>104</x:v>
      </x:c>
      <x:c r="B3" s="1" t="s">
        <x:v>105</x:v>
      </x:c>
      <x:c r="C3" s="1" t="s">
        <x:v>106</x:v>
      </x:c>
      <x:c r="D3" s="1" t="s">
        <x:v>107</x:v>
      </x:c>
      <x:c r="E3" s="1" t="s">
        <x:v>108</x:v>
      </x:c>
      <x:c r="F3" s="1" t="s">
        <x:v>109</x:v>
      </x:c>
      <x:c r="G3" s="1" t="s">
        <x:v>110</x:v>
      </x:c>
    </x:row>
    <x:row r="4" ht="42.45000076293945">
      <x:c r="A4" s="2">
        <x:v>1</x:v>
      </x:c>
      <x:c r="B4" s="2" t="s">
        <x:v>111</x:v>
      </x:c>
      <x:c r="C4" s="2" t="s">
        <x:v>112</x:v>
      </x:c>
      <x:c r="D4" s="2" t="s">
        <x:v>113</x:v>
      </x:c>
      <x:c r="E4" s="2" t="s">
        <x:v>114</x:v>
      </x:c>
      <x:c r="F4" s="2" t="s">
        <x:v>115</x:v>
      </x:c>
      <x:c r="G4" s="2" t="s">
        <x:v>14</x:v>
      </x:c>
    </x:row>
    <x:row r="5" ht="56.599998474121094">
      <x:c r="A5" s="2">
        <x:v>2</x:v>
      </x:c>
      <x:c r="B5" s="2" t="s">
        <x:v>116</x:v>
      </x:c>
      <x:c r="C5" s="2" t="s">
        <x:v>117</x:v>
      </x:c>
      <x:c r="D5" s="2" t="s">
        <x:v>118</x:v>
      </x:c>
      <x:c r="E5" s="2" t="s">
        <x:v>119</x:v>
      </x:c>
      <x:c r="F5" s="2" t="s">
        <x:v>120</x:v>
      </x:c>
      <x:c r="G5" s="2" t="s">
        <x:v>16</x:v>
      </x:c>
    </x:row>
    <x:row r="6" ht="42.45000076293945">
      <x:c r="A6" s="2">
        <x:v>3</x:v>
      </x:c>
      <x:c r="B6" s="2" t="s">
        <x:v>121</x:v>
      </x:c>
      <x:c r="C6" s="2" t="s">
        <x:v>122</x:v>
      </x:c>
      <x:c r="D6" s="2" t="s">
        <x:v>123</x:v>
      </x:c>
      <x:c r="E6" s="2" t="s">
        <x:v>124</x:v>
      </x:c>
      <x:c r="F6" s="2" t="s">
        <x:v>125</x:v>
      </x:c>
      <x:c r="G6" s="2" t="s">
        <x:v>126</x:v>
      </x:c>
    </x:row>
    <x:row r="7" ht="56.599998474121094">
      <x:c r="A7" s="2">
        <x:v>4</x:v>
      </x:c>
      <x:c r="B7" s="2" t="s">
        <x:v>127</x:v>
      </x:c>
      <x:c r="C7" s="2" t="s">
        <x:v>128</x:v>
      </x:c>
      <x:c r="D7" s="2" t="s">
        <x:v>123</x:v>
      </x:c>
      <x:c r="E7" s="2" t="s">
        <x:v>124</x:v>
      </x:c>
      <x:c r="F7" s="2" t="s">
        <x:v>129</x:v>
      </x:c>
      <x:c r="G7" s="2" t="s">
        <x:v>130</x:v>
      </x:c>
    </x:row>
    <x:row r="8" ht="28.299999237060547">
      <x:c r="A8" s="2">
        <x:v>5</x:v>
      </x:c>
      <x:c r="B8" s="2" t="s">
        <x:v>131</x:v>
      </x:c>
      <x:c r="C8" s="2" t="s">
        <x:v>132</x:v>
      </x:c>
      <x:c r="D8" s="2" t="s">
        <x:v>133</x:v>
      </x:c>
      <x:c r="E8" s="2" t="s">
        <x:v>114</x:v>
      </x:c>
      <x:c r="F8" s="2" t="s">
        <x:v>134</x:v>
      </x:c>
      <x:c r="G8" s="2" t="s">
        <x:v>135</x:v>
      </x:c>
    </x:row>
    <x:row r="9">
      <x:c r="A9" s="2"/>
      <x:c r="B9" s="2"/>
      <x:c r="C9" s="2"/>
      <x:c r="D9" s="2"/>
      <x:c r="E9" s="2"/>
      <x:c r="F9" s="2"/>
      <x:c r="G9" s="2"/>
    </x:row>
    <x:row r="10">
      <x:c r="A10" s="8" t="s">
        <x:v>136</x:v>
      </x:c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</x:sheetData>
  <x:mergeCells>
    <x:mergeCell ref="A1:G1"/>
    <x:mergeCell ref="A10:G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149999618530273"/>
  <x:cols>
    <x:col min="1" max="6" width="24" customWidth="1"/>
  </x:cols>
  <x:sheetData>
    <x:row r="1" ht="16" customHeight="1">
      <x:c r="A1" s="6" t="s">
        <x:v>137</x:v>
      </x:c>
      <x:c r="B1" s="6"/>
      <x:c r="C1" s="6"/>
      <x:c r="D1" s="6"/>
      <x:c r="E1" s="6"/>
      <x:c r="F1" s="6"/>
    </x:row>
    <x:row r="2">
      <x:c r="A2" s="2"/>
      <x:c r="B2" s="2"/>
      <x:c r="C2" s="2"/>
      <x:c r="D2" s="2"/>
      <x:c r="E2" s="2"/>
      <x:c r="F2" s="2"/>
    </x:row>
    <x:row r="3">
      <x:c r="A3" s="1" t="s">
        <x:v>105</x:v>
      </x:c>
      <x:c r="B3" s="1" t="s">
        <x:v>138</x:v>
      </x:c>
      <x:c r="C3" s="1" t="s">
        <x:v>139</x:v>
      </x:c>
      <x:c r="D3" s="1" t="s">
        <x:v>108</x:v>
      </x:c>
      <x:c r="E3" s="1" t="s">
        <x:v>140</x:v>
      </x:c>
      <x:c r="F3" s="1" t="s">
        <x:v>141</x:v>
      </x:c>
    </x:row>
    <x:row r="4">
      <x:c r="A4" s="2" t="s">
        <x:v>142</x:v>
      </x:c>
      <x:c r="B4" s="2" t="s">
        <x:v>113</x:v>
      </x:c>
      <x:c r="C4" s="2">
        <x:v>60</x:v>
      </x:c>
      <x:c r="D4" s="2" t="s">
        <x:v>114</x:v>
      </x:c>
      <x:c r="E4" s="2" t="s">
        <x:v>143</x:v>
      </x:c>
      <x:c r="F4" s="2" t="s">
        <x:v>144</x:v>
      </x:c>
    </x:row>
    <x:row r="5">
      <x:c r="A5" s="2" t="s">
        <x:v>145</x:v>
      </x:c>
      <x:c r="B5" s="2" t="s">
        <x:v>118</x:v>
      </x:c>
      <x:c r="C5" s="2">
        <x:v>0</x:v>
      </x:c>
      <x:c r="D5" s="2" t="s">
        <x:v>119</x:v>
      </x:c>
      <x:c r="E5" s="2" t="s">
        <x:v>146</x:v>
      </x:c>
      <x:c r="F5" s="2" t="s">
        <x:v>147</x:v>
      </x:c>
    </x:row>
    <x:row r="6">
      <x:c r="A6" s="2" t="s">
        <x:v>148</x:v>
      </x:c>
      <x:c r="B6" s="2" t="s">
        <x:v>149</x:v>
      </x:c>
      <x:c r="C6" s="2">
        <x:v>0</x:v>
      </x:c>
      <x:c r="D6" s="2" t="s">
        <x:v>124</x:v>
      </x:c>
      <x:c r="E6" s="2" t="s">
        <x:v>150</x:v>
      </x:c>
      <x:c r="F6" s="2" t="s">
        <x:v>151</x:v>
      </x:c>
    </x:row>
    <x:row r="7">
      <x:c r="A7" s="2" t="s">
        <x:v>127</x:v>
      </x:c>
      <x:c r="B7" s="2" t="s">
        <x:v>149</x:v>
      </x:c>
      <x:c r="C7" s="2">
        <x:v>0</x:v>
      </x:c>
      <x:c r="D7" s="2" t="s">
        <x:v>124</x:v>
      </x:c>
      <x:c r="E7" s="2" t="s">
        <x:v>150</x:v>
      </x:c>
      <x:c r="F7" s="2" t="s">
        <x:v>151</x:v>
      </x:c>
    </x:row>
    <x:row r="8">
      <x:c r="A8" s="2" t="s">
        <x:v>131</x:v>
      </x:c>
      <x:c r="B8" s="2" t="s">
        <x:v>152</x:v>
      </x:c>
      <x:c r="C8" s="2">
        <x:v>0</x:v>
      </x:c>
      <x:c r="D8" s="2" t="s">
        <x:v>114</x:v>
      </x:c>
      <x:c r="E8" s="2" t="s">
        <x:v>150</x:v>
      </x:c>
      <x:c r="F8" s="2" t="s">
        <x:v>153</x:v>
      </x:c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1" t="s">
        <x:v>1</x:v>
      </x:c>
      <x:c r="B11" s="1" t="s">
        <x:v>154</x:v>
      </x:c>
      <x:c r="C11" s="2"/>
      <x:c r="D11" s="2"/>
      <x:c r="E11" s="2"/>
      <x:c r="F11" s="2"/>
    </x:row>
    <x:row r="12" ht="28.299999237060547">
      <x:c r="A12" s="2" t="s">
        <x:v>155</x:v>
      </x:c>
      <x:c r="B12" s="2" t="n">
        <x:f>SUM(C4:C8)</x:f>
        <x:v>60</x:v>
      </x:c>
      <x:c r="C12" s="2"/>
      <x:c r="D12" s="2"/>
      <x:c r="E12" s="2"/>
      <x:c r="F12" s="2"/>
    </x:row>
    <x:row r="13" ht="28.299999237060547">
      <x:c r="A13" s="2" t="s">
        <x:v>156</x:v>
      </x:c>
      <x:c r="B13" s="2" t="n">
        <x:f>AVERAGE(C4:C8)</x:f>
        <x:v>12</x:v>
      </x:c>
      <x:c r="C13" s="2"/>
      <x:c r="D13" s="2"/>
      <x:c r="E13" s="2"/>
      <x:c r="F13" s="2"/>
    </x:row>
    <x:row r="14">
      <x:c r="A14" s="2" t="s">
        <x:v>157</x:v>
      </x:c>
      <x:c r="B14" s="2" t="n">
        <x:f>MAX(C4:C8)</x:f>
        <x:v>60</x:v>
      </x:c>
      <x:c r="C14" s="2"/>
      <x:c r="D14" s="2"/>
      <x:c r="E14" s="2"/>
      <x:c r="F14" s="2"/>
    </x:row>
    <x:row r="15">
      <x:c r="A15" s="2" t="s">
        <x:v>158</x:v>
      </x:c>
      <x:c r="B15" s="2" t="n">
        <x:f>MIN(C4:C8)</x:f>
        <x:v>0</x:v>
      </x:c>
      <x:c r="C15" s="2"/>
      <x:c r="D15" s="2"/>
      <x:c r="E15" s="2"/>
      <x:c r="F15" s="2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149999618530273"/>
  <x:cols>
    <x:col min="1" max="5" width="25" customWidth="1"/>
  </x:cols>
  <x:sheetData>
    <x:row r="1" ht="16" customHeight="1">
      <x:c r="A1" s="6" t="s">
        <x:v>159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>
      <x:c r="A3" s="1" t="s">
        <x:v>160</x:v>
      </x:c>
      <x:c r="B3" s="1" t="s">
        <x:v>161</x:v>
      </x:c>
      <x:c r="C3" s="1" t="s">
        <x:v>162</x:v>
      </x:c>
      <x:c r="D3" s="1" t="s">
        <x:v>163</x:v>
      </x:c>
      <x:c r="E3" s="1" t="s">
        <x:v>164</x:v>
      </x:c>
    </x:row>
    <x:row r="4" ht="42.45000076293945">
      <x:c r="A4" s="2" t="s">
        <x:v>165</x:v>
      </x:c>
      <x:c r="B4" s="2" t="s">
        <x:v>166</x:v>
      </x:c>
      <x:c r="C4" s="2" t="s">
        <x:v>167</x:v>
      </x:c>
      <x:c r="D4" s="2" t="s">
        <x:v>168</x:v>
      </x:c>
      <x:c r="E4" s="2" t="s">
        <x:v>169</x:v>
      </x:c>
    </x:row>
    <x:row r="5" ht="42.45000076293945">
      <x:c r="A5" s="2" t="s">
        <x:v>170</x:v>
      </x:c>
      <x:c r="B5" s="2" t="s">
        <x:v>171</x:v>
      </x:c>
      <x:c r="C5" s="2" t="s">
        <x:v>172</x:v>
      </x:c>
      <x:c r="D5" s="2" t="s">
        <x:v>173</x:v>
      </x:c>
      <x:c r="E5" s="2" t="s">
        <x:v>174</x:v>
      </x:c>
    </x:row>
    <x:row r="6" ht="42.45000076293945">
      <x:c r="A6" s="2" t="s">
        <x:v>175</x:v>
      </x:c>
      <x:c r="B6" s="2" t="s">
        <x:v>176</x:v>
      </x:c>
      <x:c r="C6" s="2" t="s">
        <x:v>177</x:v>
      </x:c>
      <x:c r="D6" s="2" t="s">
        <x:v>178</x:v>
      </x:c>
      <x:c r="E6" s="2" t="s">
        <x:v>179</x:v>
      </x:c>
    </x:row>
    <x:row r="7">
      <x:c r="A7" s="2"/>
      <x:c r="B7" s="2"/>
      <x:c r="C7" s="2"/>
      <x:c r="D7" s="2"/>
      <x:c r="E7" s="2"/>
    </x:row>
    <x:row r="8">
      <x:c r="A8" s="8" t="s">
        <x:v>180</x:v>
      </x:c>
      <x:c r="B8" s="8"/>
      <x:c r="C8" s="8"/>
      <x:c r="D8" s="8"/>
      <x:c r="E8" s="8"/>
    </x:row>
    <x:row r="9">
      <x:c r="A9" s="8"/>
      <x:c r="B9" s="8"/>
      <x:c r="C9" s="8"/>
      <x:c r="D9" s="8"/>
      <x:c r="E9" s="8"/>
    </x:row>
    <x:row r="10">
      <x:c r="A10" s="8"/>
      <x:c r="B10" s="8"/>
      <x:c r="C10" s="8"/>
      <x:c r="D10" s="8"/>
      <x:c r="E10" s="8"/>
    </x:row>
  </x:sheetData>
  <x:mergeCells>
    <x:mergeCell ref="A1:E1"/>
    <x:mergeCell ref="A8:E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149999618530273"/>
  <x:cols>
    <x:col min="1" max="1" width="8" customWidth="1"/>
    <x:col min="2" max="2" width="17" customWidth="1"/>
    <x:col min="3" max="5" width="16" customWidth="1"/>
    <x:col min="6" max="6" width="24" customWidth="1"/>
    <x:col min="7" max="7" width="20" customWidth="1"/>
    <x:col min="8" max="8" width="30" customWidth="1"/>
    <x:col min="9" max="9" width="15" customWidth="1"/>
    <x:col min="11" max="12" width="24" customWidth="1"/>
  </x:cols>
  <x:sheetData>
    <x:row r="1" ht="16" customHeight="1">
      <x:c r="A1" s="6" t="s">
        <x:v>181</x:v>
      </x:c>
      <x:c r="B1" s="6"/>
      <x:c r="C1" s="6"/>
      <x:c r="D1" s="6"/>
      <x:c r="E1" s="6"/>
      <x:c r="F1" s="6"/>
      <x:c r="G1" s="6"/>
      <x:c r="H1" s="6"/>
      <x:c r="I1" s="6"/>
      <x:c r="J1" s="2"/>
      <x:c r="K1" s="2"/>
      <x:c r="L1" s="2"/>
    </x:row>
    <x:row r="2" ht="42.45000076293945">
      <x:c r="A2" s="1" t="s">
        <x:v>19</x:v>
      </x:c>
      <x:c r="B2" s="1" t="s">
        <x:v>20</x:v>
      </x:c>
      <x:c r="C2" s="1" t="s">
        <x:v>21</x:v>
      </x:c>
      <x:c r="D2" s="1" t="s">
        <x:v>182</x:v>
      </x:c>
      <x:c r="E2" s="1" t="s">
        <x:v>23</x:v>
      </x:c>
      <x:c r="F2" s="1" t="s">
        <x:v>183</x:v>
      </x:c>
      <x:c r="G2" s="1" t="s">
        <x:v>25</x:v>
      </x:c>
      <x:c r="H2" s="1" t="s">
        <x:v>26</x:v>
      </x:c>
      <x:c r="I2" s="1" t="s">
        <x:v>184</x:v>
      </x:c>
      <x:c r="J2" s="2"/>
      <x:c r="K2" s="1" t="s">
        <x:v>185</x:v>
      </x:c>
      <x:c r="L2" s="1" t="s">
        <x:v>186</x:v>
      </x:c>
    </x:row>
    <x:row r="3" ht="28.299999237060547">
      <x:c r="A3" s="2" t="n">
        <x:f>'Исходные данные'!A3</x:f>
        <x:v>1</x:v>
      </x:c>
      <x:c r="B3" s="2" t="str">
        <x:f>'Исходные данные'!B3</x:f>
        <x:v>Центральный</x:v>
      </x:c>
      <x:c r="C3" s="4" t="str">
        <x:f>'Исходные данные'!C3</x:f>
        <x:v>Стальной балочный</x:v>
      </x:c>
      <x:c r="D3" s="4" t="n">
        <x:f>'Исходные данные'!D3</x:f>
        <x:v>4.79</x:v>
      </x:c>
      <x:c r="E3" s="5" t="n">
        <x:f>'Исходные данные'!E3</x:f>
        <x:v>44</x:v>
      </x:c>
      <x:c r="F3" s="2" t="str">
        <x:f>'Исходные данные'!F3</x:f>
        <x:v>City Bridge Service</x:v>
      </x:c>
      <x:c r="G3" s="2" t="str">
        <x:f>'Исходные данные'!G3</x:f>
        <x:v>Средняя</x:v>
      </x:c>
      <x:c r="H3" s="2" t="str">
        <x:f>'Исходные данные'!H3</x:f>
        <x:v>SHM-001</x:v>
      </x:c>
      <x:c r="I3" s="2" t="str">
        <x:f t="shared" ref="I3:I34" si="0">IF(OR(D3="",E3=""),"Пропуск","OK")</x:f>
        <x:v>OK</x:v>
      </x:c>
      <x:c r="J3" s="2"/>
      <x:c r="K3" s="2" t="s">
        <x:v>187</x:v>
      </x:c>
      <x:c r="L3" s="2" t="n">
        <x:f>COUNT(A3:A62)</x:f>
        <x:v>60</x:v>
      </x:c>
    </x:row>
    <x:row r="4" ht="28.299999237060547">
      <x:c r="A4" s="2" t="n">
        <x:f>'Исходные данные'!A4</x:f>
        <x:v>2</x:v>
      </x:c>
      <x:c r="B4" s="2" t="str">
        <x:f>'Исходные данные'!B4</x:f>
        <x:v>Промышленный</x:v>
      </x:c>
      <x:c r="C4" s="4" t="str">
        <x:f>'Исходные данные'!C4</x:f>
        <x:v>Железобетонный балочный</x:v>
      </x:c>
      <x:c r="D4" s="4" t="n">
        <x:f>'Исходные данные'!D4</x:f>
        <x:v>3.52</x:v>
      </x:c>
      <x:c r="E4" s="5" t="n">
        <x:f>'Исходные данные'!E4</x:f>
        <x:v>39.7</x:v>
      </x:c>
      <x:c r="F4" s="2" t="str">
        <x:f>'Исходные данные'!F4</x:f>
        <x:v>Urban Structures Unit</x:v>
      </x:c>
      <x:c r="G4" s="2" t="str">
        <x:f>'Исходные данные'!G4</x:f>
        <x:v>Средняя</x:v>
      </x:c>
      <x:c r="H4" s="2" t="str">
        <x:f>'Исходные данные'!H4</x:f>
        <x:v>SHM-002</x:v>
      </x:c>
      <x:c r="I4" s="2" t="str">
        <x:f t="shared" si="0"/>
        <x:v>OK</x:v>
      </x:c>
      <x:c r="J4" s="2"/>
      <x:c r="K4" s="2" t="s">
        <x:v>188</x:v>
      </x:c>
      <x:c r="L4" s="2" t="n">
        <x:f>COUNTIF(I3:I62,"Пропуск")</x:f>
        <x:v>0</x:v>
      </x:c>
    </x:row>
    <x:row r="5" ht="28.299999237060547">
      <x:c r="A5" s="2" t="n">
        <x:f>'Исходные данные'!A5</x:f>
        <x:v>3</x:v>
      </x:c>
      <x:c r="B5" s="2" t="str">
        <x:f>'Исходные данные'!B5</x:f>
        <x:v>Западный</x:v>
      </x:c>
      <x:c r="C5" s="4" t="str">
        <x:f>'Исходные данные'!C5</x:f>
        <x:v>Коробчатый железобетонный</x:v>
      </x:c>
      <x:c r="D5" s="4" t="n">
        <x:f>'Исходные данные'!D5</x:f>
        <x:v>3.23</x:v>
      </x:c>
      <x:c r="E5" s="5" t="n">
        <x:f>'Исходные данные'!E5</x:f>
        <x:v>43.8</x:v>
      </x:c>
      <x:c r="F5" s="2" t="str">
        <x:f>'Исходные данные'!F5</x:f>
        <x:v>InfraRoad Maintenance</x:v>
      </x:c>
      <x:c r="G5" s="2" t="str">
        <x:f>'Исходные данные'!G5</x:f>
        <x:v>Средняя</x:v>
      </x:c>
      <x:c r="H5" s="2" t="str">
        <x:f>'Исходные данные'!H5</x:f>
        <x:v>SHM-003</x:v>
      </x:c>
      <x:c r="I5" s="2" t="str">
        <x:f t="shared" si="0"/>
        <x:v>OK</x:v>
      </x:c>
      <x:c r="J5" s="2"/>
      <x:c r="K5" s="2" t="s">
        <x:v>189</x:v>
      </x:c>
      <x:c r="L5" s="2">
        <x:v>0</x:v>
      </x:c>
    </x:row>
    <x:row r="6" ht="28.299999237060547">
      <x:c r="A6" s="2" t="n">
        <x:f>'Исходные данные'!A6</x:f>
        <x:v>4</x:v>
      </x:c>
      <x:c r="B6" s="2" t="str">
        <x:f>'Исходные данные'!B6</x:f>
        <x:v>Восточный</x:v>
      </x:c>
      <x:c r="C6" s="4" t="str">
        <x:f>'Исходные данные'!C6</x:f>
        <x:v>Арочный стальной</x:v>
      </x:c>
      <x:c r="D6" s="4" t="n">
        <x:f>'Исходные данные'!D6</x:f>
        <x:v>4.14</x:v>
      </x:c>
      <x:c r="E6" s="5" t="n">
        <x:f>'Исходные данные'!E6</x:f>
        <x:v>50.9</x:v>
      </x:c>
      <x:c r="F6" s="2" t="str">
        <x:f>'Исходные данные'!F6</x:f>
        <x:v>City Bridge Service</x:v>
      </x:c>
      <x:c r="G6" s="2" t="str">
        <x:f>'Исходные данные'!G6</x:f>
        <x:v>Средняя</x:v>
      </x:c>
      <x:c r="H6" s="2" t="str">
        <x:f>'Исходные данные'!H6</x:f>
        <x:v>SHM-004</x:v>
      </x:c>
      <x:c r="I6" s="2" t="str">
        <x:f t="shared" si="0"/>
        <x:v>OK</x:v>
      </x:c>
      <x:c r="J6" s="2"/>
      <x:c r="K6" s="2" t="s">
        <x:v>190</x:v>
      </x:c>
      <x:c r="L6" s="2" t="n">
        <x:f>MAX(D3:D62)</x:f>
        <x:v>6.24</x:v>
      </x:c>
    </x:row>
    <x:row r="7">
      <x:c r="A7" s="2" t="n">
        <x:f>'Исходные данные'!A7</x:f>
        <x:v>5</x:v>
      </x:c>
      <x:c r="B7" s="2" t="str">
        <x:f>'Исходные данные'!B7</x:f>
        <x:v>Восточный</x:v>
      </x:c>
      <x:c r="C7" s="4" t="str">
        <x:f>'Исходные данные'!C7</x:f>
        <x:v>Вантовый</x:v>
      </x:c>
      <x:c r="D7" s="4" t="n">
        <x:f>'Исходные данные'!D7</x:f>
        <x:v>6.24</x:v>
      </x:c>
      <x:c r="E7" s="5" t="n">
        <x:f>'Исходные данные'!E7</x:f>
        <x:v>69.4</x:v>
      </x:c>
      <x:c r="F7" s="2" t="str">
        <x:f>'Исходные данные'!F7</x:f>
        <x:v>Urban Structures Unit</x:v>
      </x:c>
      <x:c r="G7" s="2" t="str">
        <x:f>'Исходные данные'!G7</x:f>
        <x:v>Высокая</x:v>
      </x:c>
      <x:c r="H7" s="2" t="str">
        <x:f>'Исходные данные'!H7</x:f>
        <x:v>SHM-005</x:v>
      </x:c>
      <x:c r="I7" s="2" t="str">
        <x:f t="shared" si="0"/>
        <x:v>OK</x:v>
      </x:c>
      <x:c r="J7" s="2"/>
      <x:c r="K7" s="2" t="s">
        <x:v>191</x:v>
      </x:c>
      <x:c r="L7" s="2" t="n">
        <x:f>MAX(E3:E62)</x:f>
        <x:v>77.7</x:v>
      </x:c>
    </x:row>
    <x:row r="8" ht="28.299999237060547">
      <x:c r="A8" s="2" t="n">
        <x:f>'Исходные данные'!A8</x:f>
        <x:v>6</x:v>
      </x:c>
      <x:c r="B8" s="2" t="str">
        <x:f>'Исходные данные'!B8</x:f>
        <x:v>Южный</x:v>
      </x:c>
      <x:c r="C8" s="4" t="str">
        <x:f>'Исходные данные'!C8</x:f>
        <x:v>Рамный путепровод</x:v>
      </x:c>
      <x:c r="D8" s="4" t="n">
        <x:f>'Исходные данные'!D8</x:f>
        <x:v>4.62</x:v>
      </x:c>
      <x:c r="E8" s="5" t="n">
        <x:f>'Исходные данные'!E8</x:f>
        <x:v>69</x:v>
      </x:c>
      <x:c r="F8" s="2" t="str">
        <x:f>'Исходные данные'!F8</x:f>
        <x:v>InfraRoad Maintenance</x:v>
      </x:c>
      <x:c r="G8" s="2" t="str">
        <x:f>'Исходные данные'!G8</x:f>
        <x:v>Средняя</x:v>
      </x:c>
      <x:c r="H8" s="2" t="str">
        <x:f>'Исходные данные'!H8</x:f>
        <x:v>SHM-006</x:v>
      </x:c>
      <x:c r="I8" s="2" t="str">
        <x:f t="shared" si="0"/>
        <x:v>OK</x:v>
      </x:c>
      <x:c r="J8" s="2"/>
      <x:c r="K8" s="2"/>
      <x:c r="L8" s="2"/>
    </x:row>
    <x:row r="9" ht="28.299999237060547">
      <x:c r="A9" s="2" t="n">
        <x:f>'Исходные данные'!A9</x:f>
        <x:v>7</x:v>
      </x:c>
      <x:c r="B9" s="2" t="str">
        <x:f>'Исходные данные'!B9</x:f>
        <x:v>Северный</x:v>
      </x:c>
      <x:c r="C9" s="4" t="str">
        <x:f>'Исходные данные'!C9</x:f>
        <x:v>Стальной балочный</x:v>
      </x:c>
      <x:c r="D9" s="4" t="n">
        <x:f>'Исходные данные'!D9</x:f>
        <x:v>3.24</x:v>
      </x:c>
      <x:c r="E9" s="5" t="n">
        <x:f>'Исходные данные'!E9</x:f>
        <x:v>38.8</x:v>
      </x:c>
      <x:c r="F9" s="2" t="str">
        <x:f>'Исходные данные'!F9</x:f>
        <x:v>InfraRoad Maintenance</x:v>
      </x:c>
      <x:c r="G9" s="2" t="str">
        <x:f>'Исходные данные'!G9</x:f>
        <x:v>Средняя</x:v>
      </x:c>
      <x:c r="H9" s="2" t="str">
        <x:f>'Исходные данные'!H9</x:f>
        <x:v>SHM-007</x:v>
      </x:c>
      <x:c r="I9" s="2" t="str">
        <x:f t="shared" si="0"/>
        <x:v>OK</x:v>
      </x:c>
      <x:c r="J9" s="2"/>
      <x:c r="K9" s="2"/>
      <x:c r="L9" s="2"/>
    </x:row>
    <x:row r="10" ht="28.299999237060547">
      <x:c r="A10" s="2" t="n">
        <x:f>'Исходные данные'!A10</x:f>
        <x:v>8</x:v>
      </x:c>
      <x:c r="B10" s="2" t="str">
        <x:f>'Исходные данные'!B10</x:f>
        <x:v>Центральный</x:v>
      </x:c>
      <x:c r="C10" s="4" t="str">
        <x:f>'Исходные данные'!C10</x:f>
        <x:v>Железобетонный балочный</x:v>
      </x:c>
      <x:c r="D10" s="4" t="n">
        <x:f>'Исходные данные'!D10</x:f>
        <x:v>2.65</x:v>
      </x:c>
      <x:c r="E10" s="5" t="n">
        <x:f>'Исходные данные'!E10</x:f>
        <x:v>35.3</x:v>
      </x:c>
      <x:c r="F10" s="2" t="str">
        <x:f>'Исходные данные'!F10</x:f>
        <x:v>City Bridge Service</x:v>
      </x:c>
      <x:c r="G10" s="2" t="str">
        <x:f>'Исходные данные'!G10</x:f>
        <x:v>Средняя</x:v>
      </x:c>
      <x:c r="H10" s="2" t="str">
        <x:f>'Исходные данные'!H10</x:f>
        <x:v>SHM-008</x:v>
      </x:c>
      <x:c r="I10" s="2" t="str">
        <x:f t="shared" si="0"/>
        <x:v>OK</x:v>
      </x:c>
      <x:c r="J10" s="2"/>
      <x:c r="K10" s="2"/>
      <x:c r="L10" s="2"/>
    </x:row>
    <x:row r="11" ht="28.299999237060547">
      <x:c r="A11" s="2" t="n">
        <x:f>'Исходные данные'!A11</x:f>
        <x:v>9</x:v>
      </x:c>
      <x:c r="B11" s="2" t="str">
        <x:f>'Исходные данные'!B11</x:f>
        <x:v>Центральный</x:v>
      </x:c>
      <x:c r="C11" s="4" t="str">
        <x:f>'Исходные данные'!C11</x:f>
        <x:v>Коробчатый железобетонный</x:v>
      </x:c>
      <x:c r="D11" s="4" t="n">
        <x:f>'Исходные данные'!D11</x:f>
        <x:v>4.19</x:v>
      </x:c>
      <x:c r="E11" s="5" t="n">
        <x:f>'Исходные данные'!E11</x:f>
        <x:v>48.3</x:v>
      </x:c>
      <x:c r="F11" s="2" t="str">
        <x:f>'Исходные данные'!F11</x:f>
        <x:v>Urban Structures Unit</x:v>
      </x:c>
      <x:c r="G11" s="2" t="str">
        <x:f>'Исходные данные'!G11</x:f>
        <x:v>Средняя</x:v>
      </x:c>
      <x:c r="H11" s="2" t="str">
        <x:f>'Исходные данные'!H11</x:f>
        <x:v>SHM-009</x:v>
      </x:c>
      <x:c r="I11" s="2" t="str">
        <x:f t="shared" si="0"/>
        <x:v>OK</x:v>
      </x:c>
      <x:c r="J11" s="2"/>
      <x:c r="K11" s="2"/>
      <x:c r="L11" s="2"/>
    </x:row>
    <x:row r="12" ht="28.299999237060547">
      <x:c r="A12" s="2" t="n">
        <x:f>'Исходные данные'!A12</x:f>
        <x:v>10</x:v>
      </x:c>
      <x:c r="B12" s="2" t="str">
        <x:f>'Исходные данные'!B12</x:f>
        <x:v>Промышленный</x:v>
      </x:c>
      <x:c r="C12" s="4" t="str">
        <x:f>'Исходные данные'!C12</x:f>
        <x:v>Арочный стальной</x:v>
      </x:c>
      <x:c r="D12" s="4" t="n">
        <x:f>'Исходные данные'!D12</x:f>
        <x:v>3.74</x:v>
      </x:c>
      <x:c r="E12" s="5" t="n">
        <x:f>'Исходные данные'!E12</x:f>
        <x:v>49.9</x:v>
      </x:c>
      <x:c r="F12" s="2" t="str">
        <x:f>'Исходные данные'!F12</x:f>
        <x:v>InfraRoad Maintenance</x:v>
      </x:c>
      <x:c r="G12" s="2" t="str">
        <x:f>'Исходные данные'!G12</x:f>
        <x:v>Средняя</x:v>
      </x:c>
      <x:c r="H12" s="2" t="str">
        <x:f>'Исходные данные'!H12</x:f>
        <x:v>SHM-010</x:v>
      </x:c>
      <x:c r="I12" s="2" t="str">
        <x:f t="shared" si="0"/>
        <x:v>OK</x:v>
      </x:c>
      <x:c r="J12" s="2"/>
      <x:c r="K12" s="2"/>
      <x:c r="L12" s="2"/>
    </x:row>
    <x:row r="13">
      <x:c r="A13" s="2" t="n">
        <x:f>'Исходные данные'!A13</x:f>
        <x:v>11</x:v>
      </x:c>
      <x:c r="B13" s="2" t="str">
        <x:f>'Исходные данные'!B13</x:f>
        <x:v>Западный</x:v>
      </x:c>
      <x:c r="C13" s="4" t="str">
        <x:f>'Исходные данные'!C13</x:f>
        <x:v>Вантовый</x:v>
      </x:c>
      <x:c r="D13" s="4" t="n">
        <x:f>'Исходные данные'!D13</x:f>
        <x:v>5.06</x:v>
      </x:c>
      <x:c r="E13" s="5" t="n">
        <x:f>'Исходные данные'!E13</x:f>
        <x:v>64.5</x:v>
      </x:c>
      <x:c r="F13" s="2" t="str">
        <x:f>'Исходные данные'!F13</x:f>
        <x:v>City Bridge Service</x:v>
      </x:c>
      <x:c r="G13" s="2" t="str">
        <x:f>'Исходные данные'!G13</x:f>
        <x:v>Высокая</x:v>
      </x:c>
      <x:c r="H13" s="2" t="str">
        <x:f>'Исходные данные'!H13</x:f>
        <x:v>SHM-011</x:v>
      </x:c>
      <x:c r="I13" s="2" t="str">
        <x:f t="shared" si="0"/>
        <x:v>OK</x:v>
      </x:c>
      <x:c r="J13" s="2"/>
      <x:c r="K13" s="2"/>
      <x:c r="L13" s="2"/>
    </x:row>
    <x:row r="14" ht="28.299999237060547">
      <x:c r="A14" s="2" t="n">
        <x:f>'Исходные данные'!A14</x:f>
        <x:v>12</x:v>
      </x:c>
      <x:c r="B14" s="2" t="str">
        <x:f>'Исходные данные'!B14</x:f>
        <x:v>Восточный</x:v>
      </x:c>
      <x:c r="C14" s="4" t="str">
        <x:f>'Исходные данные'!C14</x:f>
        <x:v>Рамный путепровод</x:v>
      </x:c>
      <x:c r="D14" s="4" t="n">
        <x:f>'Исходные данные'!D14</x:f>
        <x:v>4.76</x:v>
      </x:c>
      <x:c r="E14" s="5" t="n">
        <x:f>'Исходные данные'!E14</x:f>
        <x:v>63</x:v>
      </x:c>
      <x:c r="F14" s="2" t="str">
        <x:f>'Исходные данные'!F14</x:f>
        <x:v>Urban Structures Unit</x:v>
      </x:c>
      <x:c r="G14" s="2" t="str">
        <x:f>'Исходные данные'!G14</x:f>
        <x:v>Средняя</x:v>
      </x:c>
      <x:c r="H14" s="2" t="str">
        <x:f>'Исходные данные'!H14</x:f>
        <x:v>SHM-012</x:v>
      </x:c>
      <x:c r="I14" s="2" t="str">
        <x:f t="shared" si="0"/>
        <x:v>OK</x:v>
      </x:c>
      <x:c r="J14" s="2"/>
      <x:c r="K14" s="2"/>
      <x:c r="L14" s="2"/>
    </x:row>
    <x:row r="15" ht="28.299999237060547">
      <x:c r="A15" s="2" t="n">
        <x:f>'Исходные данные'!A15</x:f>
        <x:v>13</x:v>
      </x:c>
      <x:c r="B15" s="2" t="str">
        <x:f>'Исходные данные'!B15</x:f>
        <x:v>Восточный</x:v>
      </x:c>
      <x:c r="C15" s="4" t="str">
        <x:f>'Исходные данные'!C15</x:f>
        <x:v>Стальной балочный</x:v>
      </x:c>
      <x:c r="D15" s="4" t="n">
        <x:f>'Исходные данные'!D15</x:f>
        <x:v>3.02</x:v>
      </x:c>
      <x:c r="E15" s="5" t="n">
        <x:f>'Исходные данные'!E15</x:f>
        <x:v>39.2</x:v>
      </x:c>
      <x:c r="F15" s="2" t="str">
        <x:f>'Исходные данные'!F15</x:f>
        <x:v>Urban Structures Unit</x:v>
      </x:c>
      <x:c r="G15" s="2" t="str">
        <x:f>'Исходные данные'!G15</x:f>
        <x:v>Средняя</x:v>
      </x:c>
      <x:c r="H15" s="2" t="str">
        <x:f>'Исходные данные'!H15</x:f>
        <x:v>SHM-013</x:v>
      </x:c>
      <x:c r="I15" s="2" t="str">
        <x:f t="shared" si="0"/>
        <x:v>OK</x:v>
      </x:c>
      <x:c r="J15" s="2"/>
      <x:c r="K15" s="2"/>
      <x:c r="L15" s="2"/>
    </x:row>
    <x:row r="16" ht="28.299999237060547">
      <x:c r="A16" s="2" t="n">
        <x:f>'Исходные данные'!A16</x:f>
        <x:v>14</x:v>
      </x:c>
      <x:c r="B16" s="2" t="str">
        <x:f>'Исходные данные'!B16</x:f>
        <x:v>Южный</x:v>
      </x:c>
      <x:c r="C16" s="4" t="str">
        <x:f>'Исходные данные'!C16</x:f>
        <x:v>Железобетонный балочный</x:v>
      </x:c>
      <x:c r="D16" s="4" t="n">
        <x:f>'Исходные данные'!D16</x:f>
        <x:v>2.61</x:v>
      </x:c>
      <x:c r="E16" s="5" t="n">
        <x:f>'Исходные данные'!E16</x:f>
        <x:v>41.4</x:v>
      </x:c>
      <x:c r="F16" s="2" t="str">
        <x:f>'Исходные данные'!F16</x:f>
        <x:v>InfraRoad Maintenance</x:v>
      </x:c>
      <x:c r="G16" s="2" t="str">
        <x:f>'Исходные данные'!G16</x:f>
        <x:v>Средняя</x:v>
      </x:c>
      <x:c r="H16" s="2" t="str">
        <x:f>'Исходные данные'!H16</x:f>
        <x:v>SHM-014</x:v>
      </x:c>
      <x:c r="I16" s="2" t="str">
        <x:f t="shared" si="0"/>
        <x:v>OK</x:v>
      </x:c>
      <x:c r="J16" s="2"/>
      <x:c r="K16" s="2"/>
      <x:c r="L16" s="2"/>
    </x:row>
    <x:row r="17" ht="28.299999237060547">
      <x:c r="A17" s="2" t="n">
        <x:f>'Исходные данные'!A17</x:f>
        <x:v>15</x:v>
      </x:c>
      <x:c r="B17" s="2" t="str">
        <x:f>'Исходные данные'!B17</x:f>
        <x:v>Северный</x:v>
      </x:c>
      <x:c r="C17" s="4" t="str">
        <x:f>'Исходные данные'!C17</x:f>
        <x:v>Коробчатый железобетонный</x:v>
      </x:c>
      <x:c r="D17" s="4" t="n">
        <x:f>'Исходные данные'!D17</x:f>
        <x:v>3.14</x:v>
      </x:c>
      <x:c r="E17" s="5" t="n">
        <x:f>'Исходные данные'!E17</x:f>
        <x:v>32.9</x:v>
      </x:c>
      <x:c r="F17" s="2" t="str">
        <x:f>'Исходные данные'!F17</x:f>
        <x:v>City Bridge Service</x:v>
      </x:c>
      <x:c r="G17" s="2" t="str">
        <x:f>'Исходные данные'!G17</x:f>
        <x:v>Средняя</x:v>
      </x:c>
      <x:c r="H17" s="2" t="str">
        <x:f>'Исходные данные'!H17</x:f>
        <x:v>SHM-015</x:v>
      </x:c>
      <x:c r="I17" s="2" t="str">
        <x:f t="shared" si="0"/>
        <x:v>OK</x:v>
      </x:c>
      <x:c r="J17" s="2"/>
      <x:c r="K17" s="2"/>
      <x:c r="L17" s="2"/>
    </x:row>
    <x:row r="18" ht="28.299999237060547">
      <x:c r="A18" s="2" t="n">
        <x:f>'Исходные данные'!A18</x:f>
        <x:v>16</x:v>
      </x:c>
      <x:c r="B18" s="2" t="str">
        <x:f>'Исходные данные'!B18</x:f>
        <x:v>Центральный</x:v>
      </x:c>
      <x:c r="C18" s="4" t="str">
        <x:f>'Исходные данные'!C18</x:f>
        <x:v>Арочный стальной</x:v>
      </x:c>
      <x:c r="D18" s="4" t="n">
        <x:f>'Исходные данные'!D18</x:f>
        <x:v>4.4</x:v>
      </x:c>
      <x:c r="E18" s="5" t="n">
        <x:f>'Исходные данные'!E18</x:f>
        <x:v>60.2</x:v>
      </x:c>
      <x:c r="F18" s="2" t="str">
        <x:f>'Исходные данные'!F18</x:f>
        <x:v>Urban Structures Unit</x:v>
      </x:c>
      <x:c r="G18" s="2" t="str">
        <x:f>'Исходные данные'!G18</x:f>
        <x:v>Средняя</x:v>
      </x:c>
      <x:c r="H18" s="2" t="str">
        <x:f>'Исходные данные'!H18</x:f>
        <x:v>SHM-016</x:v>
      </x:c>
      <x:c r="I18" s="2" t="str">
        <x:f t="shared" si="0"/>
        <x:v>OK</x:v>
      </x:c>
      <x:c r="J18" s="2"/>
      <x:c r="K18" s="2"/>
      <x:c r="L18" s="2"/>
    </x:row>
    <x:row r="19">
      <x:c r="A19" s="2" t="n">
        <x:f>'Исходные данные'!A19</x:f>
        <x:v>17</x:v>
      </x:c>
      <x:c r="B19" s="2" t="str">
        <x:f>'Исходные данные'!B19</x:f>
        <x:v>Центральный</x:v>
      </x:c>
      <x:c r="C19" s="4" t="str">
        <x:f>'Исходные данные'!C19</x:f>
        <x:v>Вантовый</x:v>
      </x:c>
      <x:c r="D19" s="4" t="n">
        <x:f>'Исходные данные'!D19</x:f>
        <x:v>5.47</x:v>
      </x:c>
      <x:c r="E19" s="5" t="n">
        <x:f>'Исходные данные'!E19</x:f>
        <x:v>55.4</x:v>
      </x:c>
      <x:c r="F19" s="2" t="str">
        <x:f>'Исходные данные'!F19</x:f>
        <x:v>InfraRoad Maintenance</x:v>
      </x:c>
      <x:c r="G19" s="2" t="str">
        <x:f>'Исходные данные'!G19</x:f>
        <x:v>Высокая</x:v>
      </x:c>
      <x:c r="H19" s="2" t="str">
        <x:f>'Исходные данные'!H19</x:f>
        <x:v>SHM-017</x:v>
      </x:c>
      <x:c r="I19" s="2" t="str">
        <x:f t="shared" si="0"/>
        <x:v>OK</x:v>
      </x:c>
      <x:c r="J19" s="2"/>
      <x:c r="K19" s="2"/>
      <x:c r="L19" s="2"/>
    </x:row>
    <x:row r="20" ht="28.299999237060547">
      <x:c r="A20" s="2" t="n">
        <x:f>'Исходные данные'!A20</x:f>
        <x:v>18</x:v>
      </x:c>
      <x:c r="B20" s="2" t="str">
        <x:f>'Исходные данные'!B20</x:f>
        <x:v>Промышленный</x:v>
      </x:c>
      <x:c r="C20" s="4" t="str">
        <x:f>'Исходные данные'!C20</x:f>
        <x:v>Рамный путепровод</x:v>
      </x:c>
      <x:c r="D20" s="4" t="n">
        <x:f>'Исходные данные'!D20</x:f>
        <x:v>5.91</x:v>
      </x:c>
      <x:c r="E20" s="5" t="n">
        <x:f>'Исходные данные'!E20</x:f>
        <x:v>77.7</x:v>
      </x:c>
      <x:c r="F20" s="2" t="str">
        <x:f>'Исходные данные'!F20</x:f>
        <x:v>City Bridge Service</x:v>
      </x:c>
      <x:c r="G20" s="2" t="str">
        <x:f>'Исходные данные'!G20</x:f>
        <x:v>Высокая</x:v>
      </x:c>
      <x:c r="H20" s="2" t="str">
        <x:f>'Исходные данные'!H20</x:f>
        <x:v>SHM-018</x:v>
      </x:c>
      <x:c r="I20" s="2" t="str">
        <x:f t="shared" si="0"/>
        <x:v>OK</x:v>
      </x:c>
      <x:c r="J20" s="2"/>
      <x:c r="K20" s="2"/>
      <x:c r="L20" s="2"/>
    </x:row>
    <x:row r="21" ht="28.299999237060547">
      <x:c r="A21" s="2" t="n">
        <x:f>'Исходные данные'!A21</x:f>
        <x:v>19</x:v>
      </x:c>
      <x:c r="B21" s="2" t="str">
        <x:f>'Исходные данные'!B21</x:f>
        <x:v>Западный</x:v>
      </x:c>
      <x:c r="C21" s="4" t="str">
        <x:f>'Исходные данные'!C21</x:f>
        <x:v>Стальной балочный</x:v>
      </x:c>
      <x:c r="D21" s="4" t="n">
        <x:f>'Исходные данные'!D21</x:f>
        <x:v>2.51</x:v>
      </x:c>
      <x:c r="E21" s="5" t="n">
        <x:f>'Исходные данные'!E21</x:f>
        <x:v>34.2</x:v>
      </x:c>
      <x:c r="F21" s="2" t="str">
        <x:f>'Исходные данные'!F21</x:f>
        <x:v>City Bridge Service</x:v>
      </x:c>
      <x:c r="G21" s="2" t="str">
        <x:f>'Исходные данные'!G21</x:f>
        <x:v>Средняя</x:v>
      </x:c>
      <x:c r="H21" s="2" t="str">
        <x:f>'Исходные данные'!H21</x:f>
        <x:v>SHM-019</x:v>
      </x:c>
      <x:c r="I21" s="2" t="str">
        <x:f t="shared" si="0"/>
        <x:v>OK</x:v>
      </x:c>
      <x:c r="J21" s="2"/>
      <x:c r="K21" s="2"/>
      <x:c r="L21" s="2"/>
    </x:row>
    <x:row r="22" ht="28.299999237060547">
      <x:c r="A22" s="2" t="n">
        <x:f>'Исходные данные'!A22</x:f>
        <x:v>20</x:v>
      </x:c>
      <x:c r="B22" s="2" t="str">
        <x:f>'Исходные данные'!B22</x:f>
        <x:v>Восточный</x:v>
      </x:c>
      <x:c r="C22" s="4" t="str">
        <x:f>'Исходные данные'!C22</x:f>
        <x:v>Железобетонный балочный</x:v>
      </x:c>
      <x:c r="D22" s="4" t="n">
        <x:f>'Исходные данные'!D22</x:f>
        <x:v>3.58</x:v>
      </x:c>
      <x:c r="E22" s="5" t="n">
        <x:f>'Исходные данные'!E22</x:f>
        <x:v>42.4</x:v>
      </x:c>
      <x:c r="F22" s="2" t="str">
        <x:f>'Исходные данные'!F22</x:f>
        <x:v>Urban Structures Unit</x:v>
      </x:c>
      <x:c r="G22" s="2" t="str">
        <x:f>'Исходные данные'!G22</x:f>
        <x:v>Средняя</x:v>
      </x:c>
      <x:c r="H22" s="2" t="str">
        <x:f>'Исходные данные'!H22</x:f>
        <x:v>SHM-020</x:v>
      </x:c>
      <x:c r="I22" s="2" t="str">
        <x:f t="shared" si="0"/>
        <x:v>OK</x:v>
      </x:c>
      <x:c r="J22" s="2"/>
      <x:c r="K22" s="2"/>
      <x:c r="L22" s="2"/>
    </x:row>
    <x:row r="23" ht="28.299999237060547">
      <x:c r="A23" s="2" t="n">
        <x:f>'Исходные данные'!A23</x:f>
        <x:v>21</x:v>
      </x:c>
      <x:c r="B23" s="2" t="str">
        <x:f>'Исходные данные'!B23</x:f>
        <x:v>Восточный</x:v>
      </x:c>
      <x:c r="C23" s="4" t="str">
        <x:f>'Исходные данные'!C23</x:f>
        <x:v>Коробчатый железобетонный</x:v>
      </x:c>
      <x:c r="D23" s="4" t="n">
        <x:f>'Исходные данные'!D23</x:f>
        <x:v>3.05</x:v>
      </x:c>
      <x:c r="E23" s="5" t="n">
        <x:f>'Исходные данные'!E23</x:f>
        <x:v>45.7</x:v>
      </x:c>
      <x:c r="F23" s="2" t="str">
        <x:f>'Исходные данные'!F23</x:f>
        <x:v>InfraRoad Maintenance</x:v>
      </x:c>
      <x:c r="G23" s="2" t="str">
        <x:f>'Исходные данные'!G23</x:f>
        <x:v>Средняя</x:v>
      </x:c>
      <x:c r="H23" s="2" t="str">
        <x:f>'Исходные данные'!H23</x:f>
        <x:v>SHM-021</x:v>
      </x:c>
      <x:c r="I23" s="2" t="str">
        <x:f t="shared" si="0"/>
        <x:v>OK</x:v>
      </x:c>
      <x:c r="J23" s="2"/>
      <x:c r="K23" s="2"/>
      <x:c r="L23" s="2"/>
    </x:row>
    <x:row r="24" ht="28.299999237060547">
      <x:c r="A24" s="2" t="n">
        <x:f>'Исходные данные'!A24</x:f>
        <x:v>22</x:v>
      </x:c>
      <x:c r="B24" s="2" t="str">
        <x:f>'Исходные данные'!B24</x:f>
        <x:v>Южный</x:v>
      </x:c>
      <x:c r="C24" s="4" t="str">
        <x:f>'Исходные данные'!C24</x:f>
        <x:v>Арочный стальной</x:v>
      </x:c>
      <x:c r="D24" s="4" t="n">
        <x:f>'Исходные данные'!D24</x:f>
        <x:v>3.88</x:v>
      </x:c>
      <x:c r="E24" s="5" t="n">
        <x:f>'Исходные данные'!E24</x:f>
        <x:v>46.6</x:v>
      </x:c>
      <x:c r="F24" s="2" t="str">
        <x:f>'Исходные данные'!F24</x:f>
        <x:v>City Bridge Service</x:v>
      </x:c>
      <x:c r="G24" s="2" t="str">
        <x:f>'Исходные данные'!G24</x:f>
        <x:v>Средняя</x:v>
      </x:c>
      <x:c r="H24" s="2" t="str">
        <x:f>'Исходные данные'!H24</x:f>
        <x:v>SHM-022</x:v>
      </x:c>
      <x:c r="I24" s="2" t="str">
        <x:f t="shared" si="0"/>
        <x:v>OK</x:v>
      </x:c>
      <x:c r="J24" s="2"/>
      <x:c r="K24" s="2"/>
      <x:c r="L24" s="2"/>
    </x:row>
    <x:row r="25">
      <x:c r="A25" s="2" t="n">
        <x:f>'Исходные данные'!A25</x:f>
        <x:v>23</x:v>
      </x:c>
      <x:c r="B25" s="2" t="str">
        <x:f>'Исходные данные'!B25</x:f>
        <x:v>Северный</x:v>
      </x:c>
      <x:c r="C25" s="4" t="str">
        <x:f>'Исходные данные'!C25</x:f>
        <x:v>Вантовый</x:v>
      </x:c>
      <x:c r="D25" s="4" t="n">
        <x:f>'Исходные данные'!D25</x:f>
        <x:v>5.7</x:v>
      </x:c>
      <x:c r="E25" s="5" t="n">
        <x:f>'Исходные данные'!E25</x:f>
        <x:v>60.7</x:v>
      </x:c>
      <x:c r="F25" s="2" t="str">
        <x:f>'Исходные данные'!F25</x:f>
        <x:v>Urban Structures Unit</x:v>
      </x:c>
      <x:c r="G25" s="2" t="str">
        <x:f>'Исходные данные'!G25</x:f>
        <x:v>Высокая</x:v>
      </x:c>
      <x:c r="H25" s="2" t="str">
        <x:f>'Исходные данные'!H25</x:f>
        <x:v>SHM-023</x:v>
      </x:c>
      <x:c r="I25" s="2" t="str">
        <x:f t="shared" si="0"/>
        <x:v>OK</x:v>
      </x:c>
      <x:c r="J25" s="2"/>
      <x:c r="K25" s="2"/>
      <x:c r="L25" s="2"/>
    </x:row>
    <x:row r="26" ht="28.299999237060547">
      <x:c r="A26" s="2" t="n">
        <x:f>'Исходные данные'!A26</x:f>
        <x:v>24</x:v>
      </x:c>
      <x:c r="B26" s="2" t="str">
        <x:f>'Исходные данные'!B26</x:f>
        <x:v>Центральный</x:v>
      </x:c>
      <x:c r="C26" s="4" t="str">
        <x:f>'Исходные данные'!C26</x:f>
        <x:v>Рамный путепровод</x:v>
      </x:c>
      <x:c r="D26" s="4" t="n">
        <x:f>'Исходные данные'!D26</x:f>
        <x:v>4.14</x:v>
      </x:c>
      <x:c r="E26" s="5" t="n">
        <x:f>'Исходные данные'!E26</x:f>
        <x:v>62.6</x:v>
      </x:c>
      <x:c r="F26" s="2" t="str">
        <x:f>'Исходные данные'!F26</x:f>
        <x:v>InfraRoad Maintenance</x:v>
      </x:c>
      <x:c r="G26" s="2" t="str">
        <x:f>'Исходные данные'!G26</x:f>
        <x:v>Средняя</x:v>
      </x:c>
      <x:c r="H26" s="2" t="str">
        <x:f>'Исходные данные'!H26</x:f>
        <x:v>SHM-024</x:v>
      </x:c>
      <x:c r="I26" s="2" t="str">
        <x:f t="shared" si="0"/>
        <x:v>OK</x:v>
      </x:c>
      <x:c r="J26" s="2"/>
      <x:c r="K26" s="2"/>
      <x:c r="L26" s="2"/>
    </x:row>
    <x:row r="27" ht="28.299999237060547">
      <x:c r="A27" s="2" t="n">
        <x:f>'Исходные данные'!A27</x:f>
        <x:v>25</x:v>
      </x:c>
      <x:c r="B27" s="2" t="str">
        <x:f>'Исходные данные'!B27</x:f>
        <x:v>Центральный</x:v>
      </x:c>
      <x:c r="C27" s="4" t="str">
        <x:f>'Исходные данные'!C27</x:f>
        <x:v>Стальной балочный</x:v>
      </x:c>
      <x:c r="D27" s="4" t="n">
        <x:f>'Исходные данные'!D27</x:f>
        <x:v>3.59</x:v>
      </x:c>
      <x:c r="E27" s="5" t="n">
        <x:f>'Исходные данные'!E27</x:f>
        <x:v>36.1</x:v>
      </x:c>
      <x:c r="F27" s="2" t="str">
        <x:f>'Исходные данные'!F27</x:f>
        <x:v>InfraRoad Maintenance</x:v>
      </x:c>
      <x:c r="G27" s="2" t="str">
        <x:f>'Исходные данные'!G27</x:f>
        <x:v>Средняя</x:v>
      </x:c>
      <x:c r="H27" s="2" t="str">
        <x:f>'Исходные данные'!H27</x:f>
        <x:v>SHM-025</x:v>
      </x:c>
      <x:c r="I27" s="2" t="str">
        <x:f t="shared" si="0"/>
        <x:v>OK</x:v>
      </x:c>
      <x:c r="J27" s="2"/>
      <x:c r="K27" s="2"/>
      <x:c r="L27" s="2"/>
    </x:row>
    <x:row r="28" ht="28.299999237060547">
      <x:c r="A28" s="2" t="n">
        <x:f>'Исходные данные'!A28</x:f>
        <x:v>26</x:v>
      </x:c>
      <x:c r="B28" s="2" t="str">
        <x:f>'Исходные данные'!B28</x:f>
        <x:v>Промышленный</x:v>
      </x:c>
      <x:c r="C28" s="4" t="str">
        <x:f>'Исходные данные'!C28</x:f>
        <x:v>Железобетонный балочный</x:v>
      </x:c>
      <x:c r="D28" s="4" t="n">
        <x:f>'Исходные данные'!D28</x:f>
        <x:v>2.59</x:v>
      </x:c>
      <x:c r="E28" s="5" t="n">
        <x:f>'Исходные данные'!E28</x:f>
        <x:v>39.7</x:v>
      </x:c>
      <x:c r="F28" s="2" t="str">
        <x:f>'Исходные данные'!F28</x:f>
        <x:v>City Bridge Service</x:v>
      </x:c>
      <x:c r="G28" s="2" t="str">
        <x:f>'Исходные данные'!G28</x:f>
        <x:v>Средняя</x:v>
      </x:c>
      <x:c r="H28" s="2" t="str">
        <x:f>'Исходные данные'!H28</x:f>
        <x:v>SHM-026</x:v>
      </x:c>
      <x:c r="I28" s="2" t="str">
        <x:f t="shared" si="0"/>
        <x:v>OK</x:v>
      </x:c>
      <x:c r="J28" s="2"/>
      <x:c r="K28" s="2"/>
      <x:c r="L28" s="2"/>
    </x:row>
    <x:row r="29" ht="28.299999237060547">
      <x:c r="A29" s="2" t="n">
        <x:f>'Исходные данные'!A29</x:f>
        <x:v>27</x:v>
      </x:c>
      <x:c r="B29" s="2" t="str">
        <x:f>'Исходные данные'!B29</x:f>
        <x:v>Западный</x:v>
      </x:c>
      <x:c r="C29" s="4" t="str">
        <x:f>'Исходные данные'!C29</x:f>
        <x:v>Коробчатый железобетонный</x:v>
      </x:c>
      <x:c r="D29" s="4" t="n">
        <x:f>'Исходные данные'!D29</x:f>
        <x:v>3.86</x:v>
      </x:c>
      <x:c r="E29" s="5" t="n">
        <x:f>'Исходные данные'!E29</x:f>
        <x:v>61.5</x:v>
      </x:c>
      <x:c r="F29" s="2" t="str">
        <x:f>'Исходные данные'!F29</x:f>
        <x:v>Urban Structures Unit</x:v>
      </x:c>
      <x:c r="G29" s="2" t="str">
        <x:f>'Исходные данные'!G29</x:f>
        <x:v>Средняя</x:v>
      </x:c>
      <x:c r="H29" s="2" t="str">
        <x:f>'Исходные данные'!H29</x:f>
        <x:v>SHM-027</x:v>
      </x:c>
      <x:c r="I29" s="2" t="str">
        <x:f t="shared" si="0"/>
        <x:v>OK</x:v>
      </x:c>
      <x:c r="J29" s="2"/>
      <x:c r="K29" s="2"/>
      <x:c r="L29" s="2"/>
    </x:row>
    <x:row r="30" ht="28.299999237060547">
      <x:c r="A30" s="2" t="n">
        <x:f>'Исходные данные'!A30</x:f>
        <x:v>28</x:v>
      </x:c>
      <x:c r="B30" s="2" t="str">
        <x:f>'Исходные данные'!B30</x:f>
        <x:v>Восточный</x:v>
      </x:c>
      <x:c r="C30" s="4" t="str">
        <x:f>'Исходные данные'!C30</x:f>
        <x:v>Арочный стальной</x:v>
      </x:c>
      <x:c r="D30" s="4" t="n">
        <x:f>'Исходные данные'!D30</x:f>
        <x:v>4</x:v>
      </x:c>
      <x:c r="E30" s="5" t="n">
        <x:f>'Исходные данные'!E30</x:f>
        <x:v>46.1</x:v>
      </x:c>
      <x:c r="F30" s="2" t="str">
        <x:f>'Исходные данные'!F30</x:f>
        <x:v>InfraRoad Maintenance</x:v>
      </x:c>
      <x:c r="G30" s="2" t="str">
        <x:f>'Исходные данные'!G30</x:f>
        <x:v>Средняя</x:v>
      </x:c>
      <x:c r="H30" s="2" t="str">
        <x:f>'Исходные данные'!H30</x:f>
        <x:v>SHM-028</x:v>
      </x:c>
      <x:c r="I30" s="2" t="str">
        <x:f t="shared" si="0"/>
        <x:v>OK</x:v>
      </x:c>
      <x:c r="J30" s="2"/>
      <x:c r="K30" s="2"/>
      <x:c r="L30" s="2"/>
    </x:row>
    <x:row r="31">
      <x:c r="A31" s="2" t="n">
        <x:f>'Исходные данные'!A31</x:f>
        <x:v>29</x:v>
      </x:c>
      <x:c r="B31" s="2" t="str">
        <x:f>'Исходные данные'!B31</x:f>
        <x:v>Восточный</x:v>
      </x:c>
      <x:c r="C31" s="4" t="str">
        <x:f>'Исходные данные'!C31</x:f>
        <x:v>Вантовый</x:v>
      </x:c>
      <x:c r="D31" s="4" t="n">
        <x:f>'Исходные данные'!D31</x:f>
        <x:v>4.44</x:v>
      </x:c>
      <x:c r="E31" s="5" t="n">
        <x:f>'Исходные данные'!E31</x:f>
        <x:v>50.6</x:v>
      </x:c>
      <x:c r="F31" s="2" t="str">
        <x:f>'Исходные данные'!F31</x:f>
        <x:v>City Bridge Service</x:v>
      </x:c>
      <x:c r="G31" s="2" t="str">
        <x:f>'Исходные данные'!G31</x:f>
        <x:v>Средняя</x:v>
      </x:c>
      <x:c r="H31" s="2" t="str">
        <x:f>'Исходные данные'!H31</x:f>
        <x:v>SHM-029</x:v>
      </x:c>
      <x:c r="I31" s="2" t="str">
        <x:f t="shared" si="0"/>
        <x:v>OK</x:v>
      </x:c>
      <x:c r="J31" s="2"/>
      <x:c r="K31" s="2"/>
      <x:c r="L31" s="2"/>
    </x:row>
    <x:row r="32" ht="28.299999237060547">
      <x:c r="A32" s="2" t="n">
        <x:f>'Исходные данные'!A32</x:f>
        <x:v>30</x:v>
      </x:c>
      <x:c r="B32" s="2" t="str">
        <x:f>'Исходные данные'!B32</x:f>
        <x:v>Южный</x:v>
      </x:c>
      <x:c r="C32" s="4" t="str">
        <x:f>'Исходные данные'!C32</x:f>
        <x:v>Рамный путепровод</x:v>
      </x:c>
      <x:c r="D32" s="4" t="n">
        <x:f>'Исходные данные'!D32</x:f>
        <x:v>5.35</x:v>
      </x:c>
      <x:c r="E32" s="5" t="n">
        <x:f>'Исходные данные'!E32</x:f>
        <x:v>60.9</x:v>
      </x:c>
      <x:c r="F32" s="2" t="str">
        <x:f>'Исходные данные'!F32</x:f>
        <x:v>Urban Structures Unit</x:v>
      </x:c>
      <x:c r="G32" s="2" t="str">
        <x:f>'Исходные данные'!G32</x:f>
        <x:v>Высокая</x:v>
      </x:c>
      <x:c r="H32" s="2" t="str">
        <x:f>'Исходные данные'!H32</x:f>
        <x:v>SHM-030</x:v>
      </x:c>
      <x:c r="I32" s="2" t="str">
        <x:f t="shared" si="0"/>
        <x:v>OK</x:v>
      </x:c>
      <x:c r="J32" s="2"/>
      <x:c r="K32" s="2"/>
      <x:c r="L32" s="2"/>
    </x:row>
    <x:row r="33" ht="28.299999237060547">
      <x:c r="A33" s="2" t="n">
        <x:f>'Исходные данные'!A33</x:f>
        <x:v>31</x:v>
      </x:c>
      <x:c r="B33" s="2" t="str">
        <x:f>'Исходные данные'!B33</x:f>
        <x:v>Северный</x:v>
      </x:c>
      <x:c r="C33" s="4" t="str">
        <x:f>'Исходные данные'!C33</x:f>
        <x:v>Стальной балочный</x:v>
      </x:c>
      <x:c r="D33" s="4" t="n">
        <x:f>'Исходные данные'!D33</x:f>
        <x:v>2.51</x:v>
      </x:c>
      <x:c r="E33" s="5" t="n">
        <x:f>'Исходные данные'!E33</x:f>
        <x:v>31.9</x:v>
      </x:c>
      <x:c r="F33" s="2" t="str">
        <x:f>'Исходные данные'!F33</x:f>
        <x:v>Urban Structures Unit</x:v>
      </x:c>
      <x:c r="G33" s="2" t="str">
        <x:f>'Исходные данные'!G33</x:f>
        <x:v>Средняя</x:v>
      </x:c>
      <x:c r="H33" s="2" t="str">
        <x:f>'Исходные данные'!H33</x:f>
        <x:v>SHM-031</x:v>
      </x:c>
      <x:c r="I33" s="2" t="str">
        <x:f t="shared" si="0"/>
        <x:v>OK</x:v>
      </x:c>
      <x:c r="J33" s="2"/>
      <x:c r="K33" s="2"/>
      <x:c r="L33" s="2"/>
    </x:row>
    <x:row r="34" ht="28.299999237060547">
      <x:c r="A34" s="2" t="n">
        <x:f>'Исходные данные'!A34</x:f>
        <x:v>32</x:v>
      </x:c>
      <x:c r="B34" s="2" t="str">
        <x:f>'Исходные данные'!B34</x:f>
        <x:v>Центральный</x:v>
      </x:c>
      <x:c r="C34" s="4" t="str">
        <x:f>'Исходные данные'!C34</x:f>
        <x:v>Железобетонный балочный</x:v>
      </x:c>
      <x:c r="D34" s="4" t="n">
        <x:f>'Исходные данные'!D34</x:f>
        <x:v>2.23</x:v>
      </x:c>
      <x:c r="E34" s="5" t="n">
        <x:f>'Исходные данные'!E34</x:f>
        <x:v>34.5</x:v>
      </x:c>
      <x:c r="F34" s="2" t="str">
        <x:f>'Исходные данные'!F34</x:f>
        <x:v>InfraRoad Maintenance</x:v>
      </x:c>
      <x:c r="G34" s="2" t="str">
        <x:f>'Исходные данные'!G34</x:f>
        <x:v>Низкая</x:v>
      </x:c>
      <x:c r="H34" s="2" t="str">
        <x:f>'Исходные данные'!H34</x:f>
        <x:v>SHM-032</x:v>
      </x:c>
      <x:c r="I34" s="2" t="str">
        <x:f t="shared" si="0"/>
        <x:v>OK</x:v>
      </x:c>
      <x:c r="J34" s="2"/>
      <x:c r="K34" s="2"/>
      <x:c r="L34" s="2"/>
    </x:row>
    <x:row r="35" ht="28.299999237060547">
      <x:c r="A35" s="2" t="n">
        <x:f>'Исходные данные'!A35</x:f>
        <x:v>33</x:v>
      </x:c>
      <x:c r="B35" s="2" t="str">
        <x:f>'Исходные данные'!B35</x:f>
        <x:v>Центральный</x:v>
      </x:c>
      <x:c r="C35" s="4" t="str">
        <x:f>'Исходные данные'!C35</x:f>
        <x:v>Коробчатый железобетонный</x:v>
      </x:c>
      <x:c r="D35" s="4" t="n">
        <x:f>'Исходные данные'!D35</x:f>
        <x:v>3.89</x:v>
      </x:c>
      <x:c r="E35" s="5" t="n">
        <x:f>'Исходные данные'!E35</x:f>
        <x:v>46.6</x:v>
      </x:c>
      <x:c r="F35" s="2" t="str">
        <x:f>'Исходные данные'!F35</x:f>
        <x:v>City Bridge Service</x:v>
      </x:c>
      <x:c r="G35" s="2" t="str">
        <x:f>'Исходные данные'!G35</x:f>
        <x:v>Средняя</x:v>
      </x:c>
      <x:c r="H35" s="2" t="str">
        <x:f>'Исходные данные'!H35</x:f>
        <x:v>SHM-033</x:v>
      </x:c>
      <x:c r="I35" s="2" t="str">
        <x:f t="shared" ref="I35:I62" si="1">IF(OR(D35="",E35=""),"Пропуск","OK")</x:f>
        <x:v>OK</x:v>
      </x:c>
      <x:c r="J35" s="2"/>
      <x:c r="K35" s="2"/>
      <x:c r="L35" s="2"/>
    </x:row>
    <x:row r="36" ht="28.299999237060547">
      <x:c r="A36" s="2" t="n">
        <x:f>'Исходные данные'!A36</x:f>
        <x:v>34</x:v>
      </x:c>
      <x:c r="B36" s="2" t="str">
        <x:f>'Исходные данные'!B36</x:f>
        <x:v>Промышленный</x:v>
      </x:c>
      <x:c r="C36" s="4" t="str">
        <x:f>'Исходные данные'!C36</x:f>
        <x:v>Арочный стальной</x:v>
      </x:c>
      <x:c r="D36" s="4" t="n">
        <x:f>'Исходные данные'!D36</x:f>
        <x:v>5.58</x:v>
      </x:c>
      <x:c r="E36" s="5" t="n">
        <x:f>'Исходные данные'!E36</x:f>
        <x:v>61.2</x:v>
      </x:c>
      <x:c r="F36" s="2" t="str">
        <x:f>'Исходные данные'!F36</x:f>
        <x:v>Urban Structures Unit</x:v>
      </x:c>
      <x:c r="G36" s="2" t="str">
        <x:f>'Исходные данные'!G36</x:f>
        <x:v>Высокая</x:v>
      </x:c>
      <x:c r="H36" s="2" t="str">
        <x:f>'Исходные данные'!H36</x:f>
        <x:v>SHM-034</x:v>
      </x:c>
      <x:c r="I36" s="2" t="str">
        <x:f t="shared" si="1"/>
        <x:v>OK</x:v>
      </x:c>
      <x:c r="J36" s="2"/>
      <x:c r="K36" s="2"/>
      <x:c r="L36" s="2"/>
    </x:row>
    <x:row r="37">
      <x:c r="A37" s="2" t="n">
        <x:f>'Исходные данные'!A37</x:f>
        <x:v>35</x:v>
      </x:c>
      <x:c r="B37" s="2" t="str">
        <x:f>'Исходные данные'!B37</x:f>
        <x:v>Западный</x:v>
      </x:c>
      <x:c r="C37" s="4" t="str">
        <x:f>'Исходные данные'!C37</x:f>
        <x:v>Вантовый</x:v>
      </x:c>
      <x:c r="D37" s="4" t="n">
        <x:f>'Исходные данные'!D37</x:f>
        <x:v>5.96</x:v>
      </x:c>
      <x:c r="E37" s="5" t="n">
        <x:f>'Исходные данные'!E37</x:f>
        <x:v>75</x:v>
      </x:c>
      <x:c r="F37" s="2" t="str">
        <x:f>'Исходные данные'!F37</x:f>
        <x:v>InfraRoad Maintenance</x:v>
      </x:c>
      <x:c r="G37" s="2" t="str">
        <x:f>'Исходные данные'!G37</x:f>
        <x:v>Высокая</x:v>
      </x:c>
      <x:c r="H37" s="2" t="str">
        <x:f>'Исходные данные'!H37</x:f>
        <x:v>SHM-035</x:v>
      </x:c>
      <x:c r="I37" s="2" t="str">
        <x:f t="shared" si="1"/>
        <x:v>OK</x:v>
      </x:c>
      <x:c r="J37" s="2"/>
      <x:c r="K37" s="2"/>
      <x:c r="L37" s="2"/>
    </x:row>
    <x:row r="38" ht="28.299999237060547">
      <x:c r="A38" s="2" t="n">
        <x:f>'Исходные данные'!A38</x:f>
        <x:v>36</x:v>
      </x:c>
      <x:c r="B38" s="2" t="str">
        <x:f>'Исходные данные'!B38</x:f>
        <x:v>Восточный</x:v>
      </x:c>
      <x:c r="C38" s="4" t="str">
        <x:f>'Исходные данные'!C38</x:f>
        <x:v>Рамный путепровод</x:v>
      </x:c>
      <x:c r="D38" s="4" t="n">
        <x:f>'Исходные данные'!D38</x:f>
        <x:v>4.07</x:v>
      </x:c>
      <x:c r="E38" s="5" t="n">
        <x:f>'Исходные данные'!E38</x:f>
        <x:v>53.9</x:v>
      </x:c>
      <x:c r="F38" s="2" t="str">
        <x:f>'Исходные данные'!F38</x:f>
        <x:v>City Bridge Service</x:v>
      </x:c>
      <x:c r="G38" s="2" t="str">
        <x:f>'Исходные данные'!G38</x:f>
        <x:v>Средняя</x:v>
      </x:c>
      <x:c r="H38" s="2" t="str">
        <x:f>'Исходные данные'!H38</x:f>
        <x:v>SHM-036</x:v>
      </x:c>
      <x:c r="I38" s="2" t="str">
        <x:f t="shared" si="1"/>
        <x:v>OK</x:v>
      </x:c>
      <x:c r="J38" s="2"/>
      <x:c r="K38" s="2"/>
      <x:c r="L38" s="2"/>
    </x:row>
    <x:row r="39" ht="28.299999237060547">
      <x:c r="A39" s="2" t="n">
        <x:f>'Исходные данные'!A39</x:f>
        <x:v>37</x:v>
      </x:c>
      <x:c r="B39" s="2" t="str">
        <x:f>'Исходные данные'!B39</x:f>
        <x:v>Восточный</x:v>
      </x:c>
      <x:c r="C39" s="4" t="str">
        <x:f>'Исходные данные'!C39</x:f>
        <x:v>Стальной балочный</x:v>
      </x:c>
      <x:c r="D39" s="4" t="n">
        <x:f>'Исходные данные'!D39</x:f>
        <x:v>2.8</x:v>
      </x:c>
      <x:c r="E39" s="5" t="n">
        <x:f>'Исходные данные'!E39</x:f>
        <x:v>25.2</x:v>
      </x:c>
      <x:c r="F39" s="2" t="str">
        <x:f>'Исходные данные'!F39</x:f>
        <x:v>City Bridge Service</x:v>
      </x:c>
      <x:c r="G39" s="2" t="str">
        <x:f>'Исходные данные'!G39</x:f>
        <x:v>Средняя</x:v>
      </x:c>
      <x:c r="H39" s="2" t="str">
        <x:f>'Исходные данные'!H39</x:f>
        <x:v>SHM-037</x:v>
      </x:c>
      <x:c r="I39" s="2" t="str">
        <x:f t="shared" si="1"/>
        <x:v>OK</x:v>
      </x:c>
      <x:c r="J39" s="2"/>
      <x:c r="K39" s="2"/>
      <x:c r="L39" s="2"/>
    </x:row>
    <x:row r="40" ht="28.299999237060547">
      <x:c r="A40" s="2" t="n">
        <x:f>'Исходные данные'!A40</x:f>
        <x:v>38</x:v>
      </x:c>
      <x:c r="B40" s="2" t="str">
        <x:f>'Исходные данные'!B40</x:f>
        <x:v>Южный</x:v>
      </x:c>
      <x:c r="C40" s="4" t="str">
        <x:f>'Исходные данные'!C40</x:f>
        <x:v>Железобетонный балочный</x:v>
      </x:c>
      <x:c r="D40" s="4" t="n">
        <x:f>'Исходные данные'!D40</x:f>
        <x:v>2.43</x:v>
      </x:c>
      <x:c r="E40" s="5" t="n">
        <x:f>'Исходные данные'!E40</x:f>
        <x:v>41.4</x:v>
      </x:c>
      <x:c r="F40" s="2" t="str">
        <x:f>'Исходные данные'!F40</x:f>
        <x:v>Urban Structures Unit</x:v>
      </x:c>
      <x:c r="G40" s="2" t="str">
        <x:f>'Исходные данные'!G40</x:f>
        <x:v>Средняя</x:v>
      </x:c>
      <x:c r="H40" s="2" t="str">
        <x:f>'Исходные данные'!H40</x:f>
        <x:v>SHM-038</x:v>
      </x:c>
      <x:c r="I40" s="2" t="str">
        <x:f t="shared" si="1"/>
        <x:v>OK</x:v>
      </x:c>
      <x:c r="J40" s="2"/>
      <x:c r="K40" s="2"/>
      <x:c r="L40" s="2"/>
    </x:row>
    <x:row r="41" ht="28.299999237060547">
      <x:c r="A41" s="2" t="n">
        <x:f>'Исходные данные'!A41</x:f>
        <x:v>39</x:v>
      </x:c>
      <x:c r="B41" s="2" t="str">
        <x:f>'Исходные данные'!B41</x:f>
        <x:v>Северный</x:v>
      </x:c>
      <x:c r="C41" s="4" t="str">
        <x:f>'Исходные данные'!C41</x:f>
        <x:v>Коробчатый железобетонный</x:v>
      </x:c>
      <x:c r="D41" s="4" t="n">
        <x:f>'Исходные данные'!D41</x:f>
        <x:v>4.46</x:v>
      </x:c>
      <x:c r="E41" s="5" t="n">
        <x:f>'Исходные данные'!E41</x:f>
        <x:v>46.7</x:v>
      </x:c>
      <x:c r="F41" s="2" t="str">
        <x:f>'Исходные данные'!F41</x:f>
        <x:v>InfraRoad Maintenance</x:v>
      </x:c>
      <x:c r="G41" s="2" t="str">
        <x:f>'Исходные данные'!G41</x:f>
        <x:v>Средняя</x:v>
      </x:c>
      <x:c r="H41" s="2" t="str">
        <x:f>'Исходные данные'!H41</x:f>
        <x:v>SHM-039</x:v>
      </x:c>
      <x:c r="I41" s="2" t="str">
        <x:f t="shared" si="1"/>
        <x:v>OK</x:v>
      </x:c>
      <x:c r="J41" s="2"/>
      <x:c r="K41" s="2"/>
      <x:c r="L41" s="2"/>
    </x:row>
    <x:row r="42" ht="28.299999237060547">
      <x:c r="A42" s="2" t="n">
        <x:f>'Исходные данные'!A42</x:f>
        <x:v>40</x:v>
      </x:c>
      <x:c r="B42" s="2" t="str">
        <x:f>'Исходные данные'!B42</x:f>
        <x:v>Центральный</x:v>
      </x:c>
      <x:c r="C42" s="4" t="str">
        <x:f>'Исходные данные'!C42</x:f>
        <x:v>Арочный стальной</x:v>
      </x:c>
      <x:c r="D42" s="4" t="n">
        <x:f>'Исходные данные'!D42</x:f>
        <x:v>5.79</x:v>
      </x:c>
      <x:c r="E42" s="5" t="n">
        <x:f>'Исходные данные'!E42</x:f>
        <x:v>71.7</x:v>
      </x:c>
      <x:c r="F42" s="2" t="str">
        <x:f>'Исходные данные'!F42</x:f>
        <x:v>City Bridge Service</x:v>
      </x:c>
      <x:c r="G42" s="2" t="str">
        <x:f>'Исходные данные'!G42</x:f>
        <x:v>Высокая</x:v>
      </x:c>
      <x:c r="H42" s="2" t="str">
        <x:f>'Исходные данные'!H42</x:f>
        <x:v>SHM-040</x:v>
      </x:c>
      <x:c r="I42" s="2" t="str">
        <x:f t="shared" si="1"/>
        <x:v>OK</x:v>
      </x:c>
      <x:c r="J42" s="2"/>
      <x:c r="K42" s="2"/>
      <x:c r="L42" s="2"/>
    </x:row>
    <x:row r="43">
      <x:c r="A43" s="2" t="n">
        <x:f>'Исходные данные'!A43</x:f>
        <x:v>41</x:v>
      </x:c>
      <x:c r="B43" s="2" t="str">
        <x:f>'Исходные данные'!B43</x:f>
        <x:v>Центральный</x:v>
      </x:c>
      <x:c r="C43" s="4" t="str">
        <x:f>'Исходные данные'!C43</x:f>
        <x:v>Вантовый</x:v>
      </x:c>
      <x:c r="D43" s="4" t="n">
        <x:f>'Исходные данные'!D43</x:f>
        <x:v>5.3</x:v>
      </x:c>
      <x:c r="E43" s="5" t="n">
        <x:f>'Исходные данные'!E43</x:f>
        <x:v>64.8</x:v>
      </x:c>
      <x:c r="F43" s="2" t="str">
        <x:f>'Исходные данные'!F43</x:f>
        <x:v>Urban Structures Unit</x:v>
      </x:c>
      <x:c r="G43" s="2" t="str">
        <x:f>'Исходные данные'!G43</x:f>
        <x:v>Высокая</x:v>
      </x:c>
      <x:c r="H43" s="2" t="str">
        <x:f>'Исходные данные'!H43</x:f>
        <x:v>SHM-041</x:v>
      </x:c>
      <x:c r="I43" s="2" t="str">
        <x:f t="shared" si="1"/>
        <x:v>OK</x:v>
      </x:c>
      <x:c r="J43" s="2"/>
      <x:c r="K43" s="2"/>
      <x:c r="L43" s="2"/>
    </x:row>
    <x:row r="44" ht="28.299999237060547">
      <x:c r="A44" s="2" t="n">
        <x:f>'Исходные данные'!A44</x:f>
        <x:v>42</x:v>
      </x:c>
      <x:c r="B44" s="2" t="str">
        <x:f>'Исходные данные'!B44</x:f>
        <x:v>Промышленный</x:v>
      </x:c>
      <x:c r="C44" s="4" t="str">
        <x:f>'Исходные данные'!C44</x:f>
        <x:v>Рамный путепровод</x:v>
      </x:c>
      <x:c r="D44" s="4" t="n">
        <x:f>'Исходные данные'!D44</x:f>
        <x:v>5.14</x:v>
      </x:c>
      <x:c r="E44" s="5" t="n">
        <x:f>'Исходные данные'!E44</x:f>
        <x:v>61</x:v>
      </x:c>
      <x:c r="F44" s="2" t="str">
        <x:f>'Исходные данные'!F44</x:f>
        <x:v>InfraRoad Maintenance</x:v>
      </x:c>
      <x:c r="G44" s="2" t="str">
        <x:f>'Исходные данные'!G44</x:f>
        <x:v>Высокая</x:v>
      </x:c>
      <x:c r="H44" s="2" t="str">
        <x:f>'Исходные данные'!H44</x:f>
        <x:v>SHM-042</x:v>
      </x:c>
      <x:c r="I44" s="2" t="str">
        <x:f t="shared" si="1"/>
        <x:v>OK</x:v>
      </x:c>
      <x:c r="J44" s="2"/>
      <x:c r="K44" s="2"/>
      <x:c r="L44" s="2"/>
    </x:row>
    <x:row r="45" ht="28.299999237060547">
      <x:c r="A45" s="2" t="n">
        <x:f>'Исходные данные'!A45</x:f>
        <x:v>43</x:v>
      </x:c>
      <x:c r="B45" s="2" t="str">
        <x:f>'Исходные данные'!B45</x:f>
        <x:v>Западный</x:v>
      </x:c>
      <x:c r="C45" s="4" t="str">
        <x:f>'Исходные данные'!C45</x:f>
        <x:v>Стальной балочный</x:v>
      </x:c>
      <x:c r="D45" s="4" t="n">
        <x:f>'Исходные данные'!D45</x:f>
        <x:v>3</x:v>
      </x:c>
      <x:c r="E45" s="5" t="n">
        <x:f>'Исходные данные'!E45</x:f>
        <x:v>34.9</x:v>
      </x:c>
      <x:c r="F45" s="2" t="str">
        <x:f>'Исходные данные'!F45</x:f>
        <x:v>InfraRoad Maintenance</x:v>
      </x:c>
      <x:c r="G45" s="2" t="str">
        <x:f>'Исходные данные'!G45</x:f>
        <x:v>Средняя</x:v>
      </x:c>
      <x:c r="H45" s="2" t="str">
        <x:f>'Исходные данные'!H45</x:f>
        <x:v>SHM-043</x:v>
      </x:c>
      <x:c r="I45" s="2" t="str">
        <x:f t="shared" si="1"/>
        <x:v>OK</x:v>
      </x:c>
      <x:c r="J45" s="2"/>
      <x:c r="K45" s="2"/>
      <x:c r="L45" s="2"/>
    </x:row>
    <x:row r="46" ht="28.299999237060547">
      <x:c r="A46" s="2" t="n">
        <x:f>'Исходные данные'!A46</x:f>
        <x:v>44</x:v>
      </x:c>
      <x:c r="B46" s="2" t="str">
        <x:f>'Исходные данные'!B46</x:f>
        <x:v>Восточный</x:v>
      </x:c>
      <x:c r="C46" s="4" t="str">
        <x:f>'Исходные данные'!C46</x:f>
        <x:v>Железобетонный балочный</x:v>
      </x:c>
      <x:c r="D46" s="4" t="n">
        <x:f>'Исходные данные'!D46</x:f>
        <x:v>3.43</x:v>
      </x:c>
      <x:c r="E46" s="5" t="n">
        <x:f>'Исходные данные'!E46</x:f>
        <x:v>41.2</x:v>
      </x:c>
      <x:c r="F46" s="2" t="str">
        <x:f>'Исходные данные'!F46</x:f>
        <x:v>City Bridge Service</x:v>
      </x:c>
      <x:c r="G46" s="2" t="str">
        <x:f>'Исходные данные'!G46</x:f>
        <x:v>Средняя</x:v>
      </x:c>
      <x:c r="H46" s="2" t="str">
        <x:f>'Исходные данные'!H46</x:f>
        <x:v>SHM-044</x:v>
      </x:c>
      <x:c r="I46" s="2" t="str">
        <x:f t="shared" si="1"/>
        <x:v>OK</x:v>
      </x:c>
      <x:c r="J46" s="2"/>
      <x:c r="K46" s="2"/>
      <x:c r="L46" s="2"/>
    </x:row>
    <x:row r="47" ht="28.299999237060547">
      <x:c r="A47" s="2" t="n">
        <x:f>'Исходные данные'!A47</x:f>
        <x:v>45</x:v>
      </x:c>
      <x:c r="B47" s="2" t="str">
        <x:f>'Исходные данные'!B47</x:f>
        <x:v>Восточный</x:v>
      </x:c>
      <x:c r="C47" s="4" t="str">
        <x:f>'Исходные данные'!C47</x:f>
        <x:v>Коробчатый железобетонный</x:v>
      </x:c>
      <x:c r="D47" s="4" t="n">
        <x:f>'Исходные данные'!D47</x:f>
        <x:v>3.25</x:v>
      </x:c>
      <x:c r="E47" s="5" t="n">
        <x:f>'Исходные данные'!E47</x:f>
        <x:v>51.6</x:v>
      </x:c>
      <x:c r="F47" s="2" t="str">
        <x:f>'Исходные данные'!F47</x:f>
        <x:v>Urban Structures Unit</x:v>
      </x:c>
      <x:c r="G47" s="2" t="str">
        <x:f>'Исходные данные'!G47</x:f>
        <x:v>Средняя</x:v>
      </x:c>
      <x:c r="H47" s="2" t="str">
        <x:f>'Исходные данные'!H47</x:f>
        <x:v>SHM-045</x:v>
      </x:c>
      <x:c r="I47" s="2" t="str">
        <x:f t="shared" si="1"/>
        <x:v>OK</x:v>
      </x:c>
      <x:c r="J47" s="2"/>
      <x:c r="K47" s="2"/>
      <x:c r="L47" s="2"/>
    </x:row>
    <x:row r="48" ht="28.299999237060547">
      <x:c r="A48" s="2" t="n">
        <x:f>'Исходные данные'!A48</x:f>
        <x:v>46</x:v>
      </x:c>
      <x:c r="B48" s="2" t="str">
        <x:f>'Исходные данные'!B48</x:f>
        <x:v>Южный</x:v>
      </x:c>
      <x:c r="C48" s="4" t="str">
        <x:f>'Исходные данные'!C48</x:f>
        <x:v>Арочный стальной</x:v>
      </x:c>
      <x:c r="D48" s="4" t="n">
        <x:f>'Исходные данные'!D48</x:f>
        <x:v>4.48</x:v>
      </x:c>
      <x:c r="E48" s="5" t="n">
        <x:f>'Исходные данные'!E48</x:f>
        <x:v>62.3</x:v>
      </x:c>
      <x:c r="F48" s="2" t="str">
        <x:f>'Исходные данные'!F48</x:f>
        <x:v>InfraRoad Maintenance</x:v>
      </x:c>
      <x:c r="G48" s="2" t="str">
        <x:f>'Исходные данные'!G48</x:f>
        <x:v>Средняя</x:v>
      </x:c>
      <x:c r="H48" s="2" t="str">
        <x:f>'Исходные данные'!H48</x:f>
        <x:v>SHM-046</x:v>
      </x:c>
      <x:c r="I48" s="2" t="str">
        <x:f t="shared" si="1"/>
        <x:v>OK</x:v>
      </x:c>
      <x:c r="J48" s="2"/>
      <x:c r="K48" s="2"/>
      <x:c r="L48" s="2"/>
    </x:row>
    <x:row r="49">
      <x:c r="A49" s="2" t="n">
        <x:f>'Исходные данные'!A49</x:f>
        <x:v>47</x:v>
      </x:c>
      <x:c r="B49" s="2" t="str">
        <x:f>'Исходные данные'!B49</x:f>
        <x:v>Северный</x:v>
      </x:c>
      <x:c r="C49" s="4" t="str">
        <x:f>'Исходные данные'!C49</x:f>
        <x:v>Вантовый</x:v>
      </x:c>
      <x:c r="D49" s="4" t="n">
        <x:f>'Исходные данные'!D49</x:f>
        <x:v>3.93</x:v>
      </x:c>
      <x:c r="E49" s="5" t="n">
        <x:f>'Исходные данные'!E49</x:f>
        <x:v>50.1</x:v>
      </x:c>
      <x:c r="F49" s="2" t="str">
        <x:f>'Исходные данные'!F49</x:f>
        <x:v>City Bridge Service</x:v>
      </x:c>
      <x:c r="G49" s="2" t="str">
        <x:f>'Исходные данные'!G49</x:f>
        <x:v>Средняя</x:v>
      </x:c>
      <x:c r="H49" s="2" t="str">
        <x:f>'Исходные данные'!H49</x:f>
        <x:v>SHM-047</x:v>
      </x:c>
      <x:c r="I49" s="2" t="str">
        <x:f t="shared" si="1"/>
        <x:v>OK</x:v>
      </x:c>
      <x:c r="J49" s="2"/>
      <x:c r="K49" s="2"/>
      <x:c r="L49" s="2"/>
    </x:row>
    <x:row r="50" ht="28.299999237060547">
      <x:c r="A50" s="2" t="n">
        <x:f>'Исходные данные'!A50</x:f>
        <x:v>48</x:v>
      </x:c>
      <x:c r="B50" s="2" t="str">
        <x:f>'Исходные данные'!B50</x:f>
        <x:v>Центральный</x:v>
      </x:c>
      <x:c r="C50" s="4" t="str">
        <x:f>'Исходные данные'!C50</x:f>
        <x:v>Рамный путепровод</x:v>
      </x:c>
      <x:c r="D50" s="4" t="n">
        <x:f>'Исходные данные'!D50</x:f>
        <x:v>5.01</x:v>
      </x:c>
      <x:c r="E50" s="5" t="n">
        <x:f>'Исходные данные'!E50</x:f>
        <x:v>61.2</x:v>
      </x:c>
      <x:c r="F50" s="2" t="str">
        <x:f>'Исходные данные'!F50</x:f>
        <x:v>Urban Structures Unit</x:v>
      </x:c>
      <x:c r="G50" s="2" t="str">
        <x:f>'Исходные данные'!G50</x:f>
        <x:v>Высокая</x:v>
      </x:c>
      <x:c r="H50" s="2" t="str">
        <x:f>'Исходные данные'!H50</x:f>
        <x:v>SHM-048</x:v>
      </x:c>
      <x:c r="I50" s="2" t="str">
        <x:f t="shared" si="1"/>
        <x:v>OK</x:v>
      </x:c>
      <x:c r="J50" s="2"/>
      <x:c r="K50" s="2"/>
      <x:c r="L50" s="2"/>
    </x:row>
    <x:row r="51" ht="28.299999237060547">
      <x:c r="A51" s="2" t="n">
        <x:f>'Исходные данные'!A51</x:f>
        <x:v>49</x:v>
      </x:c>
      <x:c r="B51" s="2" t="str">
        <x:f>'Исходные данные'!B51</x:f>
        <x:v>Центральный</x:v>
      </x:c>
      <x:c r="C51" s="4" t="str">
        <x:f>'Исходные данные'!C51</x:f>
        <x:v>Стальной балочный</x:v>
      </x:c>
      <x:c r="D51" s="4" t="n">
        <x:f>'Исходные данные'!D51</x:f>
        <x:v>2.28</x:v>
      </x:c>
      <x:c r="E51" s="5" t="n">
        <x:f>'Исходные данные'!E51</x:f>
        <x:v>33.1</x:v>
      </x:c>
      <x:c r="F51" s="2" t="str">
        <x:f>'Исходные данные'!F51</x:f>
        <x:v>Urban Structures Unit</x:v>
      </x:c>
      <x:c r="G51" s="2" t="str">
        <x:f>'Исходные данные'!G51</x:f>
        <x:v>Низкая</x:v>
      </x:c>
      <x:c r="H51" s="2" t="str">
        <x:f>'Исходные данные'!H51</x:f>
        <x:v>SHM-049</x:v>
      </x:c>
      <x:c r="I51" s="2" t="str">
        <x:f t="shared" si="1"/>
        <x:v>OK</x:v>
      </x:c>
      <x:c r="J51" s="2"/>
      <x:c r="K51" s="2"/>
      <x:c r="L51" s="2"/>
    </x:row>
    <x:row r="52" ht="28.299999237060547">
      <x:c r="A52" s="2" t="n">
        <x:f>'Исходные данные'!A52</x:f>
        <x:v>50</x:v>
      </x:c>
      <x:c r="B52" s="2" t="str">
        <x:f>'Исходные данные'!B52</x:f>
        <x:v>Промышленный</x:v>
      </x:c>
      <x:c r="C52" s="4" t="str">
        <x:f>'Исходные данные'!C52</x:f>
        <x:v>Железобетонный балочный</x:v>
      </x:c>
      <x:c r="D52" s="4" t="n">
        <x:f>'Исходные данные'!D52</x:f>
        <x:v>2.76</x:v>
      </x:c>
      <x:c r="E52" s="5" t="n">
        <x:f>'Исходные данные'!E52</x:f>
        <x:v>32.6</x:v>
      </x:c>
      <x:c r="F52" s="2" t="str">
        <x:f>'Исходные данные'!F52</x:f>
        <x:v>InfraRoad Maintenance</x:v>
      </x:c>
      <x:c r="G52" s="2" t="str">
        <x:f>'Исходные данные'!G52</x:f>
        <x:v>Средняя</x:v>
      </x:c>
      <x:c r="H52" s="2" t="str">
        <x:f>'Исходные данные'!H52</x:f>
        <x:v>SHM-050</x:v>
      </x:c>
      <x:c r="I52" s="2" t="str">
        <x:f t="shared" si="1"/>
        <x:v>OK</x:v>
      </x:c>
      <x:c r="J52" s="2"/>
      <x:c r="K52" s="2"/>
      <x:c r="L52" s="2"/>
    </x:row>
    <x:row r="53" ht="28.299999237060547">
      <x:c r="A53" s="2" t="n">
        <x:f>'Исходные данные'!A53</x:f>
        <x:v>51</x:v>
      </x:c>
      <x:c r="B53" s="2" t="str">
        <x:f>'Исходные данные'!B53</x:f>
        <x:v>Западный</x:v>
      </x:c>
      <x:c r="C53" s="4" t="str">
        <x:f>'Исходные данные'!C53</x:f>
        <x:v>Коробчатый железобетонный</x:v>
      </x:c>
      <x:c r="D53" s="4" t="n">
        <x:f>'Исходные данные'!D53</x:f>
        <x:v>2.54</x:v>
      </x:c>
      <x:c r="E53" s="5" t="n">
        <x:f>'Исходные данные'!E53</x:f>
        <x:v>38.2</x:v>
      </x:c>
      <x:c r="F53" s="2" t="str">
        <x:f>'Исходные данные'!F53</x:f>
        <x:v>City Bridge Service</x:v>
      </x:c>
      <x:c r="G53" s="2" t="str">
        <x:f>'Исходные данные'!G53</x:f>
        <x:v>Средняя</x:v>
      </x:c>
      <x:c r="H53" s="2" t="str">
        <x:f>'Исходные данные'!H53</x:f>
        <x:v>SHM-051</x:v>
      </x:c>
      <x:c r="I53" s="2" t="str">
        <x:f t="shared" si="1"/>
        <x:v>OK</x:v>
      </x:c>
      <x:c r="J53" s="2"/>
      <x:c r="K53" s="2"/>
      <x:c r="L53" s="2"/>
    </x:row>
    <x:row r="54" ht="28.299999237060547">
      <x:c r="A54" s="2" t="n">
        <x:f>'Исходные данные'!A54</x:f>
        <x:v>52</x:v>
      </x:c>
      <x:c r="B54" s="2" t="str">
        <x:f>'Исходные данные'!B54</x:f>
        <x:v>Восточный</x:v>
      </x:c>
      <x:c r="C54" s="4" t="str">
        <x:f>'Исходные данные'!C54</x:f>
        <x:v>Арочный стальной</x:v>
      </x:c>
      <x:c r="D54" s="4" t="n">
        <x:f>'Исходные данные'!D54</x:f>
        <x:v>5.2</x:v>
      </x:c>
      <x:c r="E54" s="5" t="n">
        <x:f>'Исходные данные'!E54</x:f>
        <x:v>73.6</x:v>
      </x:c>
      <x:c r="F54" s="2" t="str">
        <x:f>'Исходные данные'!F54</x:f>
        <x:v>Urban Structures Unit</x:v>
      </x:c>
      <x:c r="G54" s="2" t="str">
        <x:f>'Исходные данные'!G54</x:f>
        <x:v>Высокая</x:v>
      </x:c>
      <x:c r="H54" s="2" t="str">
        <x:f>'Исходные данные'!H54</x:f>
        <x:v>SHM-052</x:v>
      </x:c>
      <x:c r="I54" s="2" t="str">
        <x:f t="shared" si="1"/>
        <x:v>OK</x:v>
      </x:c>
      <x:c r="J54" s="2"/>
      <x:c r="K54" s="2"/>
      <x:c r="L54" s="2"/>
    </x:row>
    <x:row r="55">
      <x:c r="A55" s="2" t="n">
        <x:f>'Исходные данные'!A55</x:f>
        <x:v>53</x:v>
      </x:c>
      <x:c r="B55" s="2" t="str">
        <x:f>'Исходные данные'!B55</x:f>
        <x:v>Восточный</x:v>
      </x:c>
      <x:c r="C55" s="4" t="str">
        <x:f>'Исходные данные'!C55</x:f>
        <x:v>Вантовый</x:v>
      </x:c>
      <x:c r="D55" s="4" t="n">
        <x:f>'Исходные данные'!D55</x:f>
        <x:v>5.46</x:v>
      </x:c>
      <x:c r="E55" s="5" t="n">
        <x:f>'Исходные данные'!E55</x:f>
        <x:v>76.2</x:v>
      </x:c>
      <x:c r="F55" s="2" t="str">
        <x:f>'Исходные данные'!F55</x:f>
        <x:v>InfraRoad Maintenance</x:v>
      </x:c>
      <x:c r="G55" s="2" t="str">
        <x:f>'Исходные данные'!G55</x:f>
        <x:v>Высокая</x:v>
      </x:c>
      <x:c r="H55" s="2" t="str">
        <x:f>'Исходные данные'!H55</x:f>
        <x:v>SHM-053</x:v>
      </x:c>
      <x:c r="I55" s="2" t="str">
        <x:f t="shared" si="1"/>
        <x:v>OK</x:v>
      </x:c>
      <x:c r="J55" s="2"/>
      <x:c r="K55" s="2"/>
      <x:c r="L55" s="2"/>
    </x:row>
    <x:row r="56" ht="28.299999237060547">
      <x:c r="A56" s="2" t="n">
        <x:f>'Исходные данные'!A56</x:f>
        <x:v>54</x:v>
      </x:c>
      <x:c r="B56" s="2" t="str">
        <x:f>'Исходные данные'!B56</x:f>
        <x:v>Южный</x:v>
      </x:c>
      <x:c r="C56" s="4" t="str">
        <x:f>'Исходные данные'!C56</x:f>
        <x:v>Рамный путепровод</x:v>
      </x:c>
      <x:c r="D56" s="4" t="n">
        <x:f>'Исходные данные'!D56</x:f>
        <x:v>4.39</x:v>
      </x:c>
      <x:c r="E56" s="5" t="n">
        <x:f>'Исходные данные'!E56</x:f>
        <x:v>62.8</x:v>
      </x:c>
      <x:c r="F56" s="2" t="str">
        <x:f>'Исходные данные'!F56</x:f>
        <x:v>City Bridge Service</x:v>
      </x:c>
      <x:c r="G56" s="2" t="str">
        <x:f>'Исходные данные'!G56</x:f>
        <x:v>Средняя</x:v>
      </x:c>
      <x:c r="H56" s="2" t="str">
        <x:f>'Исходные данные'!H56</x:f>
        <x:v>SHM-054</x:v>
      </x:c>
      <x:c r="I56" s="2" t="str">
        <x:f t="shared" si="1"/>
        <x:v>OK</x:v>
      </x:c>
      <x:c r="J56" s="2"/>
      <x:c r="K56" s="2"/>
      <x:c r="L56" s="2"/>
    </x:row>
    <x:row r="57" ht="28.299999237060547">
      <x:c r="A57" s="2" t="n">
        <x:f>'Исходные данные'!A57</x:f>
        <x:v>55</x:v>
      </x:c>
      <x:c r="B57" s="2" t="str">
        <x:f>'Исходные данные'!B57</x:f>
        <x:v>Северный</x:v>
      </x:c>
      <x:c r="C57" s="4" t="str">
        <x:f>'Исходные данные'!C57</x:f>
        <x:v>Стальной балочный</x:v>
      </x:c>
      <x:c r="D57" s="4" t="n">
        <x:f>'Исходные данные'!D57</x:f>
        <x:v>2.7</x:v>
      </x:c>
      <x:c r="E57" s="5" t="n">
        <x:f>'Исходные данные'!E57</x:f>
        <x:v>32.2</x:v>
      </x:c>
      <x:c r="F57" s="2" t="str">
        <x:f>'Исходные данные'!F57</x:f>
        <x:v>City Bridge Service</x:v>
      </x:c>
      <x:c r="G57" s="2" t="str">
        <x:f>'Исходные данные'!G57</x:f>
        <x:v>Средняя</x:v>
      </x:c>
      <x:c r="H57" s="2" t="str">
        <x:f>'Исходные данные'!H57</x:f>
        <x:v>SHM-055</x:v>
      </x:c>
      <x:c r="I57" s="2" t="str">
        <x:f t="shared" si="1"/>
        <x:v>OK</x:v>
      </x:c>
      <x:c r="J57" s="2"/>
      <x:c r="K57" s="2"/>
      <x:c r="L57" s="2"/>
    </x:row>
    <x:row r="58" ht="28.299999237060547">
      <x:c r="A58" s="2" t="n">
        <x:f>'Исходные данные'!A58</x:f>
        <x:v>56</x:v>
      </x:c>
      <x:c r="B58" s="2" t="str">
        <x:f>'Исходные данные'!B58</x:f>
        <x:v>Центральный</x:v>
      </x:c>
      <x:c r="C58" s="4" t="str">
        <x:f>'Исходные данные'!C58</x:f>
        <x:v>Железобетонный балочный</x:v>
      </x:c>
      <x:c r="D58" s="4" t="n">
        <x:f>'Исходные данные'!D58</x:f>
        <x:v>2.48</x:v>
      </x:c>
      <x:c r="E58" s="5" t="n">
        <x:f>'Исходные данные'!E58</x:f>
        <x:v>37.1</x:v>
      </x:c>
      <x:c r="F58" s="2" t="str">
        <x:f>'Исходные данные'!F58</x:f>
        <x:v>Urban Structures Unit</x:v>
      </x:c>
      <x:c r="G58" s="2" t="str">
        <x:f>'Исходные данные'!G58</x:f>
        <x:v>Низкая</x:v>
      </x:c>
      <x:c r="H58" s="2" t="str">
        <x:f>'Исходные данные'!H58</x:f>
        <x:v>SHM-056</x:v>
      </x:c>
      <x:c r="I58" s="2" t="str">
        <x:f t="shared" si="1"/>
        <x:v>OK</x:v>
      </x:c>
      <x:c r="J58" s="2"/>
      <x:c r="K58" s="2"/>
      <x:c r="L58" s="2"/>
    </x:row>
    <x:row r="59" ht="28.299999237060547">
      <x:c r="A59" s="2" t="n">
        <x:f>'Исходные данные'!A59</x:f>
        <x:v>57</x:v>
      </x:c>
      <x:c r="B59" s="2" t="str">
        <x:f>'Исходные данные'!B59</x:f>
        <x:v>Центральный</x:v>
      </x:c>
      <x:c r="C59" s="4" t="str">
        <x:f>'Исходные данные'!C59</x:f>
        <x:v>Коробчатый железобетонный</x:v>
      </x:c>
      <x:c r="D59" s="4" t="n">
        <x:f>'Исходные данные'!D59</x:f>
        <x:v>2.3</x:v>
      </x:c>
      <x:c r="E59" s="5" t="n">
        <x:f>'Исходные данные'!E59</x:f>
        <x:v>38.4</x:v>
      </x:c>
      <x:c r="F59" s="2" t="str">
        <x:f>'Исходные данные'!F59</x:f>
        <x:v>InfraRoad Maintenance</x:v>
      </x:c>
      <x:c r="G59" s="2" t="str">
        <x:f>'Исходные данные'!G59</x:f>
        <x:v>Низкая</x:v>
      </x:c>
      <x:c r="H59" s="2" t="str">
        <x:f>'Исходные данные'!H59</x:f>
        <x:v>SHM-057</x:v>
      </x:c>
      <x:c r="I59" s="2" t="str">
        <x:f t="shared" si="1"/>
        <x:v>OK</x:v>
      </x:c>
      <x:c r="J59" s="2"/>
      <x:c r="K59" s="2"/>
      <x:c r="L59" s="2"/>
    </x:row>
    <x:row r="60" ht="28.299999237060547">
      <x:c r="A60" s="2" t="n">
        <x:f>'Исходные данные'!A60</x:f>
        <x:v>58</x:v>
      </x:c>
      <x:c r="B60" s="2" t="str">
        <x:f>'Исходные данные'!B60</x:f>
        <x:v>Промышленный</x:v>
      </x:c>
      <x:c r="C60" s="4" t="str">
        <x:f>'Исходные данные'!C60</x:f>
        <x:v>Арочный стальной</x:v>
      </x:c>
      <x:c r="D60" s="4" t="n">
        <x:f>'Исходные данные'!D60</x:f>
        <x:v>5.41</x:v>
      </x:c>
      <x:c r="E60" s="5" t="n">
        <x:f>'Исходные данные'!E60</x:f>
        <x:v>49.6</x:v>
      </x:c>
      <x:c r="F60" s="2" t="str">
        <x:f>'Исходные данные'!F60</x:f>
        <x:v>City Bridge Service</x:v>
      </x:c>
      <x:c r="G60" s="2" t="str">
        <x:f>'Исходные данные'!G60</x:f>
        <x:v>Высокая</x:v>
      </x:c>
      <x:c r="H60" s="2" t="str">
        <x:f>'Исходные данные'!H60</x:f>
        <x:v>SHM-058</x:v>
      </x:c>
      <x:c r="I60" s="2" t="str">
        <x:f t="shared" si="1"/>
        <x:v>OK</x:v>
      </x:c>
      <x:c r="J60" s="2"/>
      <x:c r="K60" s="2"/>
      <x:c r="L60" s="2"/>
    </x:row>
    <x:row r="61">
      <x:c r="A61" s="2" t="n">
        <x:f>'Исходные данные'!A61</x:f>
        <x:v>59</x:v>
      </x:c>
      <x:c r="B61" s="2" t="str">
        <x:f>'Исходные данные'!B61</x:f>
        <x:v>Западный</x:v>
      </x:c>
      <x:c r="C61" s="4" t="str">
        <x:f>'Исходные данные'!C61</x:f>
        <x:v>Вантовый</x:v>
      </x:c>
      <x:c r="D61" s="4" t="n">
        <x:f>'Исходные данные'!D61</x:f>
        <x:v>4.29</x:v>
      </x:c>
      <x:c r="E61" s="5" t="n">
        <x:f>'Исходные данные'!E61</x:f>
        <x:v>55.9</x:v>
      </x:c>
      <x:c r="F61" s="2" t="str">
        <x:f>'Исходные данные'!F61</x:f>
        <x:v>Urban Structures Unit</x:v>
      </x:c>
      <x:c r="G61" s="2" t="str">
        <x:f>'Исходные данные'!G61</x:f>
        <x:v>Средняя</x:v>
      </x:c>
      <x:c r="H61" s="2" t="str">
        <x:f>'Исходные данные'!H61</x:f>
        <x:v>SHM-059</x:v>
      </x:c>
      <x:c r="I61" s="2" t="str">
        <x:f t="shared" si="1"/>
        <x:v>OK</x:v>
      </x:c>
      <x:c r="J61" s="2"/>
      <x:c r="K61" s="2"/>
      <x:c r="L61" s="2"/>
    </x:row>
    <x:row r="62" ht="28.299999237060547">
      <x:c r="A62" s="2" t="n">
        <x:f>'Исходные данные'!A62</x:f>
        <x:v>60</x:v>
      </x:c>
      <x:c r="B62" s="2" t="str">
        <x:f>'Исходные данные'!B62</x:f>
        <x:v>Восточный</x:v>
      </x:c>
      <x:c r="C62" s="4" t="str">
        <x:f>'Исходные данные'!C62</x:f>
        <x:v>Рамный путепровод</x:v>
      </x:c>
      <x:c r="D62" s="4" t="n">
        <x:f>'Исходные данные'!D62</x:f>
        <x:v>5.5</x:v>
      </x:c>
      <x:c r="E62" s="5" t="n">
        <x:f>'Исходные данные'!E62</x:f>
        <x:v>64</x:v>
      </x:c>
      <x:c r="F62" s="2" t="str">
        <x:f>'Исходные данные'!F62</x:f>
        <x:v>InfraRoad Maintenance</x:v>
      </x:c>
      <x:c r="G62" s="2" t="str">
        <x:f>'Исходные данные'!G62</x:f>
        <x:v>Высокая</x:v>
      </x:c>
      <x:c r="H62" s="2" t="str">
        <x:f>'Исходные данные'!H62</x:f>
        <x:v>SHM-060</x:v>
      </x:c>
      <x:c r="I62" s="2" t="str">
        <x:f t="shared" si="1"/>
        <x:v>OK</x:v>
      </x:c>
      <x:c r="J62" s="2"/>
      <x:c r="K62" s="2"/>
      <x:c r="L62" s="2"/>
    </x:row>
  </x:sheetData>
  <x:mergeCells>
    <x:mergeCell ref="A1:I1"/>
  </x:mergeCells>
  <x:conditionalFormatting sqref="G3:G62">
    <x:cfRule type="expression" dxfId="2" priority="1">
      <x:formula>G3="Соответствует"</x:formula>
    </x:cfRule>
    <x:cfRule type="expression" dxfId="1" priority="2">
      <x:formula>G3="Не соответствует"</x:formula>
    </x:cfRule>
  </x:conditionalFormatting>
  <x:conditionalFormatting sqref="I3:I62">
    <x:cfRule type="expression" dxfId="0" priority="3">
      <x:formula>I3="Пропуск"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149999618530273"/>
  <x:cols>
    <x:col min="1" max="1" width="43.140625" customWidth="1"/>
    <x:col min="2" max="2" width="14.7109375" customWidth="1"/>
    <x:col min="3" max="3" width="20.5" customWidth="1"/>
    <x:col min="4" max="4" width="11.640625" customWidth="1"/>
    <x:col min="6" max="6" width="13.5" customWidth="1"/>
    <x:col min="7" max="7" width="20.5" customWidth="1"/>
    <x:col min="9" max="10" width="18" customWidth="1"/>
  </x:cols>
  <x:sheetData>
    <x:row r="1" ht="16" customHeight="1">
      <x:c r="A1" s="6" t="s">
        <x:v>192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" t="s">
        <x:v>1</x:v>
      </x:c>
      <x:c r="B3" s="1" t="s">
        <x:v>154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 t="s">
        <x:v>193</x:v>
      </x:c>
      <x:c r="B4" s="2" t="n">
        <x:f>COUNT('Исходные данные'!A3:A62)</x:f>
        <x:v>60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 t="s">
        <x:v>194</x:v>
      </x:c>
      <x:c r="B5" s="4" t="n">
        <x:f>AVERAGE('Обработка'!E3:E62)</x:f>
        <x:v>50.323333333333316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2" t="s">
        <x:v>195</x:v>
      </x:c>
      <x:c r="B6" s="4" t="n">
        <x:f>AVERAGE('Обработка'!D3:D62)</x:f>
        <x:v>3.999833333333333</x:v>
      </x:c>
      <x:c r="C6" s="2"/>
      <x:c r="D6" s="2"/>
      <x:c r="E6" s="2"/>
      <x:c r="F6" s="2"/>
      <x:c r="G6" s="2"/>
      <x:c r="H6" s="2"/>
      <x:c r="I6" s="2"/>
      <x:c r="J6" s="2"/>
    </x:row>
    <x:row r="7">
      <x:c r="A7" s="2" t="s">
        <x:v>196</x:v>
      </x:c>
      <x:c r="B7" s="4" t="n">
        <x:f>MAX('Обработка'!E3:E62)</x:f>
        <x:v>77.7</x:v>
      </x:c>
      <x:c r="C7" s="2"/>
      <x:c r="D7" s="2"/>
      <x:c r="E7" s="2"/>
      <x:c r="F7" s="2"/>
      <x:c r="G7" s="2"/>
      <x:c r="H7" s="2"/>
      <x:c r="I7" s="2"/>
      <x:c r="J7" s="2"/>
    </x:row>
    <x:row r="8">
      <x:c r="A8" s="2" t="s">
        <x:v>197</x:v>
      </x:c>
      <x:c r="B8" s="4" t="n">
        <x:f>MAX('Обработка'!D3:D62)</x:f>
        <x:v>6.24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2" t="s">
        <x:v>198</x:v>
      </x:c>
      <x:c r="B9" s="4" t="n">
        <x:f>COUNTIF('Исходные данные'!G3:G62,"Высокая")</x:f>
        <x:v>16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2" t="s">
        <x:v>199</x:v>
      </x:c>
      <x:c r="B10" s="4" t="n">
        <x:f>COUNTIF('Исходные данные'!G3:G62,"Средняя")</x:f>
        <x:v>40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2" t="s">
        <x:v>200</x:v>
      </x:c>
      <x:c r="B11" s="2" t="n">
        <x:f>COUNTIF('Исходные данные'!G3:G62,"Низкая")</x:f>
        <x:v>4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8.299999237060547">
      <x:c r="A14" s="1" t="s">
        <x:v>21</x:v>
      </x:c>
      <x:c r="B14" s="1" t="s">
        <x:v>201</x:v>
      </x:c>
      <x:c r="C14" s="1" t="s">
        <x:v>195</x:v>
      </x:c>
      <x:c r="D14" s="1" t="s">
        <x:v>198</x:v>
      </x:c>
      <x:c r="E14" s="2"/>
      <x:c r="F14" s="1" t="s">
        <x:v>20</x:v>
      </x:c>
      <x:c r="G14" s="1" t="s">
        <x:v>202</x:v>
      </x:c>
      <x:c r="H14" s="2"/>
      <x:c r="I14" s="1"/>
      <x:c r="J14" s="1"/>
    </x:row>
    <x:row r="15">
      <x:c r="A15" s="2" t="s">
        <x:v>29</x:v>
      </x:c>
      <x:c r="B15" s="4" t="n">
        <x:f>AVERAGEIF('Обработка'!$C$3:$C$62,A15,'Обработка'!$E$3:$E$62)</x:f>
        <x:v>34.959999999999994</x:v>
      </x:c>
      <x:c r="C15" s="4" t="n">
        <x:f>AVERAGEIF('Обработка'!$C$3:$C$62,A15,'Обработка'!$D$3:$D$62)</x:f>
        <x:v>3.0439999999999996</x:v>
      </x:c>
      <x:c r="D15" s="2" t="n">
        <x:f>COUNTIFS('Обработка'!$C$3:$C$62,A15,'Обработка'!$G$3:$G$62,"Высокая")</x:f>
        <x:v>0</x:v>
      </x:c>
      <x:c r="E15" s="2"/>
      <x:c r="F15" s="2" t="s">
        <x:v>28</x:v>
      </x:c>
      <x:c r="G15" s="2" t="n">
        <x:f>COUNTIFS('Обработка'!$B$3:$B$62,F15,'Обработка'!$G$3:$G$62,"Высокая")</x:f>
        <x:v>4</x:v>
      </x:c>
      <x:c r="H15" s="2"/>
      <x:c r="I15" s="2"/>
      <x:c r="J15" s="2"/>
    </x:row>
    <x:row r="16">
      <x:c r="A16" s="2" t="s">
        <x:v>33</x:v>
      </x:c>
      <x:c r="B16" s="4" t="n">
        <x:f>AVERAGEIF('Обработка'!$C$3:$C$62,A16,'Обработка'!$E$3:$E$62)</x:f>
        <x:v>38.53</x:v>
      </x:c>
      <x:c r="C16" s="4" t="n">
        <x:f>AVERAGEIF('Обработка'!$C$3:$C$62,A16,'Обработка'!$D$3:$D$62)</x:f>
        <x:v>2.828</x:v>
      </x:c>
      <x:c r="D16" s="2" t="n">
        <x:f>COUNTIFS('Обработка'!$C$3:$C$62,A16,'Обработка'!$G$3:$G$62,"Высокая")</x:f>
        <x:v>0</x:v>
      </x:c>
      <x:c r="E16" s="2"/>
      <x:c r="F16" s="2" t="s">
        <x:v>48</x:v>
      </x:c>
      <x:c r="G16" s="2" t="n">
        <x:f>COUNTIFS('Обработка'!$B$3:$B$62,F16,'Обработка'!$G$3:$G$62,"Высокая")</x:f>
        <x:v>1</x:v>
      </x:c>
      <x:c r="H16" s="2"/>
      <x:c r="I16" s="2"/>
      <x:c r="J16" s="2"/>
    </x:row>
    <x:row r="17">
      <x:c r="A17" s="2" t="s">
        <x:v>37</x:v>
      </x:c>
      <x:c r="B17" s="4" t="n">
        <x:f>AVERAGEIF('Обработка'!$C$3:$C$62,A17,'Обработка'!$E$3:$E$62)</x:f>
        <x:v>45.37</x:v>
      </x:c>
      <x:c r="C17" s="4" t="n">
        <x:f>AVERAGEIF('Обработка'!$C$3:$C$62,A17,'Обработка'!$D$3:$D$62)</x:f>
        <x:v>3.3909999999999996</x:v>
      </x:c>
      <x:c r="D17" s="2" t="n">
        <x:f>COUNTIFS('Обработка'!$C$3:$C$62,A17,'Обработка'!$G$3:$G$62,"Высокая")</x:f>
        <x:v>0</x:v>
      </x:c>
      <x:c r="E17" s="2"/>
      <x:c r="F17" s="2" t="s">
        <x:v>45</x:v>
      </x:c>
      <x:c r="G17" s="2" t="n">
        <x:f>COUNTIFS('Обработка'!$B$3:$B$62,F17,'Обработка'!$G$3:$G$62,"Высокая")</x:f>
        <x:v>1</x:v>
      </x:c>
      <x:c r="H17" s="2"/>
      <x:c r="I17" s="2"/>
      <x:c r="J17" s="2"/>
    </x:row>
    <x:row r="18">
      <x:c r="A18" s="2" t="s">
        <x:v>41</x:v>
      </x:c>
      <x:c r="B18" s="4" t="n">
        <x:f>AVERAGEIF('Обработка'!$C$3:$C$62,A18,'Обработка'!$E$3:$E$62)</x:f>
        <x:v>57.21</x:v>
      </x:c>
      <x:c r="C18" s="4" t="n">
        <x:f>AVERAGEIF('Обработка'!$C$3:$C$62,A18,'Обработка'!$D$3:$D$62)</x:f>
        <x:v>4.662000000000001</x:v>
      </x:c>
      <x:c r="D18" s="2" t="n">
        <x:f>COUNTIFS('Обработка'!$C$3:$C$62,A18,'Обработка'!$G$3:$G$62,"Высокая")</x:f>
        <x:v>4</x:v>
      </x:c>
      <x:c r="E18" s="2"/>
      <x:c r="F18" s="2" t="s">
        <x:v>40</x:v>
      </x:c>
      <x:c r="G18" s="2" t="n">
        <x:f>COUNTIFS('Обработка'!$B$3:$B$62,F18,'Обработка'!$G$3:$G$62,"Высокая")</x:f>
        <x:v>4</x:v>
      </x:c>
      <x:c r="H18" s="2"/>
      <x:c r="I18" s="2"/>
      <x:c r="J18" s="2"/>
    </x:row>
    <x:row r="19">
      <x:c r="A19" s="2" t="s">
        <x:v>43</x:v>
      </x:c>
      <x:c r="B19" s="4" t="n">
        <x:f>AVERAGEIF('Обработка'!$C$3:$C$62,A19,'Обработка'!$E$3:$E$62)</x:f>
        <x:v>62.260000000000005</x:v>
      </x:c>
      <x:c r="C19" s="4" t="n">
        <x:f>AVERAGEIF('Обработка'!$C$3:$C$62,A19,'Обработка'!$D$3:$D$62)</x:f>
        <x:v>5.185</x:v>
      </x:c>
      <x:c r="D19" s="2" t="n">
        <x:f>COUNTIFS('Обработка'!$C$3:$C$62,A19,'Обработка'!$G$3:$G$62,"Высокая")</x:f>
        <x:v>7</x:v>
      </x:c>
      <x:c r="E19" s="2"/>
      <x:c r="F19" s="2" t="s">
        <x:v>36</x:v>
      </x:c>
      <x:c r="G19" s="2" t="n">
        <x:f>COUNTIFS('Обработка'!$B$3:$B$62,F19,'Обработка'!$G$3:$G$62,"Высокая")</x:f>
        <x:v>2</x:v>
      </x:c>
      <x:c r="H19" s="2"/>
      <x:c r="I19" s="2"/>
      <x:c r="J19" s="2"/>
    </x:row>
    <x:row r="20" ht="28.299999237060547">
      <x:c r="A20" s="2" t="s">
        <x:v>46</x:v>
      </x:c>
      <x:c r="B20" s="4" t="n">
        <x:f>AVERAGEIF('Обработка'!$C$3:$C$62,A20,'Обработка'!$E$3:$E$62)</x:f>
        <x:v>63.60999999999999</x:v>
      </x:c>
      <x:c r="C20" s="4" t="n">
        <x:f>AVERAGEIF('Обработка'!$C$3:$C$62,A20,'Обработка'!$D$3:$D$62)</x:f>
        <x:v>4.889</x:v>
      </x:c>
      <x:c r="D20" s="2" t="n">
        <x:f>COUNTIFS('Обработка'!$C$3:$C$62,A20,'Обработка'!$G$3:$G$62,"Высокая")</x:f>
        <x:v>5</x:v>
      </x:c>
      <x:c r="E20" s="2"/>
      <x:c r="F20" s="2" t="s">
        <x:v>32</x:v>
      </x:c>
      <x:c r="G20" s="2" t="n">
        <x:f>COUNTIFS('Обработка'!$B$3:$B$62,F20,'Обработка'!$G$3:$G$62,"Высокая")</x:f>
        <x:v>4</x:v>
      </x:c>
      <x:c r="H20" s="2"/>
      <x:c r="I20" s="2"/>
      <x:c r="J20" s="2"/>
    </x:row>
    <x:row r="21">
      <x:c r="A21" s="2"/>
      <x:c r="B21" s="4"/>
      <x:c r="C21" s="4"/>
      <x:c r="D21" s="2"/>
      <x:c r="E21" s="2"/>
      <x:c r="F21" s="2"/>
      <x:c r="G21" s="2"/>
      <x:c r="H21" s="2"/>
      <x:c r="I21" s="2"/>
      <x:c r="J21" s="2"/>
    </x:row>
    <x:row r="22">
      <x:c r="A22" s="2"/>
      <x:c r="B22" s="4"/>
      <x:c r="C22" s="4"/>
      <x:c r="D22" s="2"/>
      <x:c r="E22" s="2"/>
      <x:c r="F22" s="2"/>
      <x:c r="G22" s="2"/>
      <x:c r="H22" s="2"/>
      <x:c r="I22" s="2"/>
      <x:c r="J22" s="2"/>
    </x:row>
    <x:row r="23" ht="28.299999237060547">
      <x:c r="A23" s="2" t="s">
        <x:v>24</x:v>
      </x:c>
      <x:c r="B23" s="4" t="s">
        <x:v>201</x:v>
      </x:c>
      <x:c r="C23" s="4" t="s">
        <x:v>195</x:v>
      </x:c>
      <x:c r="D23" s="2" t="s">
        <x:v>198</x:v>
      </x:c>
      <x:c r="E23" s="2"/>
      <x:c r="F23" s="2"/>
      <x:c r="G23" s="2"/>
      <x:c r="H23" s="2"/>
      <x:c r="I23" s="2"/>
      <x:c r="J23" s="2"/>
    </x:row>
    <x:row r="24">
      <x:c r="A24" s="2" t="s">
        <x:v>30</x:v>
      </x:c>
      <x:c r="B24" s="4" t="n">
        <x:f>AVERAGEIF('Обработка'!$F$3:$F$62,A24,'Обработка'!$E$3:$E$62)</x:f>
        <x:v>47.39500000000001</x:v>
      </x:c>
      <x:c r="C24" s="4" t="n">
        <x:f>AVERAGEIF('Обработка'!$F$3:$F$62,A24,'Обработка'!$D$3:$D$62)</x:f>
        <x:v>3.903</x:v>
      </x:c>
      <x:c r="D24" s="2" t="n">
        <x:f>COUNTIFS('Обработка'!$F$3:$F$62,A24,'Обработка'!$G$3:$G$62,"Высокая")</x:f>
        <x:v>4</x:v>
      </x:c>
      <x:c r="E24" s="2"/>
      <x:c r="F24" s="2"/>
      <x:c r="G24" s="2"/>
      <x:c r="H24" s="2"/>
      <x:c r="I24" s="2"/>
      <x:c r="J24" s="2"/>
    </x:row>
    <x:row r="25">
      <x:c r="A25" s="2" t="s">
        <x:v>38</x:v>
      </x:c>
      <x:c r="B25" s="4" t="n">
        <x:f>AVERAGEIF('Обработка'!$F$3:$F$62,A25,'Обработка'!$E$3:$E$62)</x:f>
        <x:v>50.720000000000006</x:v>
      </x:c>
      <x:c r="C25" s="4" t="n">
        <x:f>AVERAGEIF('Обработка'!$F$3:$F$62,A25,'Обработка'!$D$3:$D$62)</x:f>
        <x:v>3.9489999999999994</x:v>
      </x:c>
      <x:c r="D25" s="2" t="n">
        <x:f>COUNTIFS('Обработка'!$F$3:$F$62,A25,'Обработка'!$G$3:$G$62,"Высокая")</x:f>
        <x:v>5</x:v>
      </x:c>
      <x:c r="E25" s="2"/>
      <x:c r="F25" s="2"/>
      <x:c r="G25" s="2"/>
      <x:c r="H25" s="2"/>
      <x:c r="I25" s="2"/>
      <x:c r="J25" s="2"/>
    </x:row>
    <x:row r="26">
      <x:c r="A26" s="2" t="s">
        <x:v>34</x:v>
      </x:c>
      <x:c r="B26" s="4" t="n">
        <x:f>AVERAGEIF('Обработка'!$F$3:$F$62,A26,'Обработка'!$E$3:$E$62)</x:f>
        <x:v>52.855000000000004</x:v>
      </x:c>
      <x:c r="C26" s="4" t="n">
        <x:f>AVERAGEIF('Обработка'!$F$3:$F$62,A26,'Обработка'!$D$3:$D$62)</x:f>
        <x:v>4.147500000000001</x:v>
      </x:c>
      <x:c r="D26" s="2" t="n">
        <x:f>COUNTIFS('Обработка'!$F$3:$F$62,A26,'Обработка'!$G$3:$G$62,"Высокая")</x:f>
        <x:v>7</x:v>
      </x:c>
      <x:c r="E26" s="2"/>
      <x:c r="F26" s="2"/>
      <x:c r="G26" s="2"/>
      <x:c r="H26" s="2"/>
      <x:c r="I26" s="2"/>
      <x:c r="J26" s="2"/>
    </x:row>
    <x:row r="27">
      <x:c r="A27" s="2"/>
      <x:c r="B27" s="4"/>
      <x:c r="C27" s="4"/>
      <x:c r="D27" s="2"/>
      <x:c r="E27" s="2"/>
      <x:c r="F27" s="2"/>
      <x:c r="G27" s="2"/>
      <x:c r="H27" s="2"/>
      <x:c r="I27" s="2"/>
      <x:c r="J27" s="2"/>
    </x:row>
    <x:row r="28">
      <x:c r="A28" s="2"/>
      <x:c r="B28" s="4"/>
      <x:c r="C28" s="4"/>
      <x:c r="D28" s="2"/>
      <x:c r="E28" s="2"/>
      <x:c r="F28" s="2"/>
      <x:c r="G28" s="2"/>
      <x:c r="H28" s="2"/>
      <x:c r="I28" s="2"/>
      <x:c r="J28" s="2"/>
    </x:row>
    <x:row r="29">
      <x:c r="A29" s="2"/>
      <x:c r="B29" s="4"/>
      <x:c r="C29" s="4"/>
      <x:c r="D29" s="2"/>
      <x:c r="E29" s="2"/>
      <x:c r="F29" s="2"/>
      <x:c r="G29" s="2"/>
      <x:c r="H29" s="2"/>
      <x:c r="I29" s="2"/>
      <x:c r="J29" s="2"/>
    </x:row>
    <x:row r="30">
      <x:c r="A30" s="2"/>
      <x:c r="B30" s="4"/>
      <x:c r="C30" s="4"/>
      <x:c r="D30" s="2"/>
      <x:c r="E30" s="2"/>
      <x:c r="F30" s="2"/>
      <x:c r="G30" s="2"/>
      <x:c r="H30" s="2"/>
      <x:c r="I30" s="2"/>
      <x:c r="J30" s="2"/>
    </x:row>
    <x:row r="31">
      <x:c r="A31" s="2"/>
      <x:c r="B31" s="4"/>
      <x:c r="C31" s="4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1"/>
      <x:c r="B33" s="1"/>
      <x:c r="C33" s="1"/>
      <x:c r="D33" s="2"/>
      <x:c r="E33" s="2"/>
      <x:c r="F33" s="2"/>
      <x:c r="G33" s="2"/>
      <x:c r="H33" s="2"/>
      <x:c r="I33" s="2"/>
      <x:c r="J33" s="2"/>
    </x:row>
    <x:row r="34">
      <x:c r="A34" s="2"/>
      <x:c r="B34" s="4"/>
      <x:c r="C34" s="4"/>
      <x:c r="D34" s="2"/>
      <x:c r="E34" s="2"/>
      <x:c r="F34" s="2"/>
      <x:c r="G34" s="2"/>
      <x:c r="H34" s="2"/>
      <x:c r="I34" s="2"/>
      <x:c r="J34" s="2"/>
    </x:row>
    <x:row r="35">
      <x:c r="A35" s="2"/>
      <x:c r="B35" s="4"/>
      <x:c r="C35" s="4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0be2ce3296c4797"/>
</x:worksheet>
</file>

<file path=xl/worksheets/sheet8.xml><?xml version="1.0" encoding="utf-8"?>
<x:worksheet xmlns:x="http://schemas.openxmlformats.org/spreadsheetml/2006/main">
  <x:sheetFormatPr defaultRowHeight="14.149999618530273"/>
  <x:cols>
    <x:col min="1" max="5" width="23" customWidth="1"/>
    <x:col min="6" max="6" width="36" customWidth="1"/>
    <x:col min="7" max="7" width="23" customWidth="1"/>
  </x:cols>
  <x:sheetData>
    <x:row r="1" ht="16" customHeight="1">
      <x:c r="A1" s="6" t="s">
        <x:v>203</x:v>
      </x:c>
      <x:c r="B1" s="6"/>
      <x:c r="C1" s="6"/>
      <x:c r="D1" s="6"/>
      <x:c r="E1" s="6"/>
      <x:c r="F1" s="6"/>
      <x:c r="G1" s="6"/>
    </x:row>
    <x:row r="2">
      <x:c r="A2" s="2"/>
      <x:c r="B2" s="2"/>
      <x:c r="C2" s="2"/>
      <x:c r="D2" s="2"/>
      <x:c r="E2" s="2"/>
      <x:c r="F2" s="2"/>
      <x:c r="G2" s="2"/>
    </x:row>
    <x:row r="3">
      <x:c r="A3" s="1" t="s">
        <x:v>204</x:v>
      </x:c>
      <x:c r="B3" s="1" t="s">
        <x:v>205</x:v>
      </x:c>
      <x:c r="C3" s="1" t="s">
        <x:v>25</x:v>
      </x:c>
      <x:c r="D3" s="2"/>
      <x:c r="E3" s="1" t="s">
        <x:v>206</x:v>
      </x:c>
      <x:c r="F3" s="1" t="s">
        <x:v>207</x:v>
      </x:c>
      <x:c r="G3" s="1" t="s">
        <x:v>208</x:v>
      </x:c>
    </x:row>
    <x:row r="4">
      <x:c r="A4" s="2" t="str">
        <x:f>'Исходные данные'!B3</x:f>
        <x:v>Центральный</x:v>
      </x:c>
      <x:c r="B4" s="2" t="n">
        <x:f>IF('Исходные данные'!G3="Высокая",1,0)</x:f>
        <x:v>0</x:v>
      </x:c>
      <x:c r="C4" s="2" t="str">
        <x:f>'Исходные данные'!G3</x:f>
        <x:v>Средняя</x:v>
      </x:c>
      <x:c r="D4" s="2"/>
      <x:c r="E4" s="2" t="s">
        <x:v>28</x:v>
      </x:c>
      <x:c r="F4" s="2" t="s">
        <x:v>209</x:v>
      </x:c>
      <x:c r="G4" s="2" t="n">
        <x:f t="shared" ref="G4:G9" si="0">SUMIF($A$4:$A$63,E4,$B$4:$B$63)</x:f>
        <x:v>4</x:v>
      </x:c>
    </x:row>
    <x:row r="5">
      <x:c r="A5" s="2" t="str">
        <x:f>'Исходные данные'!B4</x:f>
        <x:v>Промышленный</x:v>
      </x:c>
      <x:c r="B5" s="2" t="n">
        <x:f>IF('Исходные данные'!G4="Высокая",1,0)</x:f>
        <x:v>0</x:v>
      </x:c>
      <x:c r="C5" s="2" t="str">
        <x:f>'Исходные данные'!G4</x:f>
        <x:v>Средняя</x:v>
      </x:c>
      <x:c r="D5" s="2"/>
      <x:c r="E5" s="2" t="s">
        <x:v>48</x:v>
      </x:c>
      <x:c r="F5" s="2" t="s">
        <x:v>210</x:v>
      </x:c>
      <x:c r="G5" s="2">
        <x:f t="shared" si="0"/>
        <x:v>1</x:v>
      </x:c>
    </x:row>
    <x:row r="6">
      <x:c r="A6" s="2" t="str">
        <x:f>'Исходные данные'!B5</x:f>
        <x:v>Западный</x:v>
      </x:c>
      <x:c r="B6" s="2" t="n">
        <x:f>IF('Исходные данные'!G5="Высокая",1,0)</x:f>
        <x:v>0</x:v>
      </x:c>
      <x:c r="C6" s="2" t="str">
        <x:f>'Исходные данные'!G5</x:f>
        <x:v>Средняя</x:v>
      </x:c>
      <x:c r="D6" s="2"/>
      <x:c r="E6" s="2" t="s">
        <x:v>45</x:v>
      </x:c>
      <x:c r="F6" s="2" t="s">
        <x:v>211</x:v>
      </x:c>
      <x:c r="G6" s="2">
        <x:f t="shared" si="0"/>
        <x:v>1</x:v>
      </x:c>
    </x:row>
    <x:row r="7">
      <x:c r="A7" s="2" t="str">
        <x:f>'Исходные данные'!B6</x:f>
        <x:v>Восточный</x:v>
      </x:c>
      <x:c r="B7" s="2" t="n">
        <x:f>IF('Исходные данные'!G6="Высокая",1,0)</x:f>
        <x:v>0</x:v>
      </x:c>
      <x:c r="C7" s="2" t="str">
        <x:f>'Исходные данные'!G6</x:f>
        <x:v>Средняя</x:v>
      </x:c>
      <x:c r="D7" s="2"/>
      <x:c r="E7" s="2" t="s">
        <x:v>40</x:v>
      </x:c>
      <x:c r="F7" s="2" t="s">
        <x:v>212</x:v>
      </x:c>
      <x:c r="G7" s="2">
        <x:f t="shared" si="0"/>
        <x:v>4</x:v>
      </x:c>
    </x:row>
    <x:row r="8">
      <x:c r="A8" s="2" t="str">
        <x:f>'Исходные данные'!B7</x:f>
        <x:v>Восточный</x:v>
      </x:c>
      <x:c r="B8" s="2" t="n">
        <x:f>IF('Исходные данные'!G7="Высокая",1,0)</x:f>
        <x:v>1</x:v>
      </x:c>
      <x:c r="C8" s="2" t="str">
        <x:f>'Исходные данные'!G7</x:f>
        <x:v>Высокая</x:v>
      </x:c>
      <x:c r="D8" s="2"/>
      <x:c r="E8" s="2" t="s">
        <x:v>36</x:v>
      </x:c>
      <x:c r="F8" s="2" t="s">
        <x:v>213</x:v>
      </x:c>
      <x:c r="G8" s="2">
        <x:f t="shared" si="0"/>
        <x:v>2</x:v>
      </x:c>
    </x:row>
    <x:row r="9">
      <x:c r="A9" s="2" t="str">
        <x:f>'Исходные данные'!B8</x:f>
        <x:v>Южный</x:v>
      </x:c>
      <x:c r="B9" s="2" t="n">
        <x:f>IF('Исходные данные'!G8="Высокая",1,0)</x:f>
        <x:v>0</x:v>
      </x:c>
      <x:c r="C9" s="2" t="str">
        <x:f>'Исходные данные'!G8</x:f>
        <x:v>Средняя</x:v>
      </x:c>
      <x:c r="D9" s="2"/>
      <x:c r="E9" s="2" t="s">
        <x:v>32</x:v>
      </x:c>
      <x:c r="F9" s="2" t="s">
        <x:v>214</x:v>
      </x:c>
      <x:c r="G9" s="2">
        <x:f t="shared" si="0"/>
        <x:v>4</x:v>
      </x:c>
    </x:row>
    <x:row r="10">
      <x:c r="A10" s="2" t="str">
        <x:f>'Исходные данные'!B9</x:f>
        <x:v>Северный</x:v>
      </x:c>
      <x:c r="B10" s="2" t="n">
        <x:f>IF('Исходные данные'!G9="Высокая",1,0)</x:f>
        <x:v>0</x:v>
      </x:c>
      <x:c r="C10" s="2" t="str">
        <x:f>'Исходные данные'!G9</x:f>
        <x:v>Средняя</x:v>
      </x:c>
      <x:c r="D10" s="2"/>
      <x:c r="E10" s="2"/>
      <x:c r="F10" s="2"/>
      <x:c r="G10" s="2"/>
    </x:row>
    <x:row r="11">
      <x:c r="A11" s="2" t="str">
        <x:f>'Исходные данные'!B10</x:f>
        <x:v>Центральный</x:v>
      </x:c>
      <x:c r="B11" s="2" t="n">
        <x:f>IF('Исходные данные'!G10="Высокая",1,0)</x:f>
        <x:v>0</x:v>
      </x:c>
      <x:c r="C11" s="2" t="str">
        <x:f>'Исходные данные'!G10</x:f>
        <x:v>Средняя</x:v>
      </x:c>
      <x:c r="D11" s="2"/>
      <x:c r="E11" s="2"/>
      <x:c r="F11" s="2"/>
      <x:c r="G11" s="2"/>
    </x:row>
    <x:row r="12">
      <x:c r="A12" s="2" t="str">
        <x:f>'Исходные данные'!B11</x:f>
        <x:v>Центральный</x:v>
      </x:c>
      <x:c r="B12" s="2" t="n">
        <x:f>IF('Исходные данные'!G11="Высокая",1,0)</x:f>
        <x:v>0</x:v>
      </x:c>
      <x:c r="C12" s="2" t="str">
        <x:f>'Исходные данные'!G11</x:f>
        <x:v>Средняя</x:v>
      </x:c>
      <x:c r="D12" s="2"/>
      <x:c r="E12" s="2"/>
      <x:c r="F12" s="2"/>
      <x:c r="G12" s="2"/>
    </x:row>
    <x:row r="13">
      <x:c r="A13" s="2" t="str">
        <x:f>'Исходные данные'!B12</x:f>
        <x:v>Промышленный</x:v>
      </x:c>
      <x:c r="B13" s="2" t="n">
        <x:f>IF('Исходные данные'!G12="Высокая",1,0)</x:f>
        <x:v>0</x:v>
      </x:c>
      <x:c r="C13" s="2" t="str">
        <x:f>'Исходные данные'!G12</x:f>
        <x:v>Средняя</x:v>
      </x:c>
      <x:c r="D13" s="2"/>
      <x:c r="E13" s="2"/>
      <x:c r="F13" s="2"/>
      <x:c r="G13" s="2"/>
    </x:row>
    <x:row r="14">
      <x:c r="A14" s="2" t="str">
        <x:f>'Исходные данные'!B13</x:f>
        <x:v>Западный</x:v>
      </x:c>
      <x:c r="B14" s="2" t="n">
        <x:f>IF('Исходные данные'!G13="Высокая",1,0)</x:f>
        <x:v>1</x:v>
      </x:c>
      <x:c r="C14" s="2" t="str">
        <x:f>'Исходные данные'!G13</x:f>
        <x:v>Высокая</x:v>
      </x:c>
      <x:c r="D14" s="2"/>
      <x:c r="E14" s="2"/>
      <x:c r="F14" s="2"/>
      <x:c r="G14" s="2"/>
    </x:row>
    <x:row r="15">
      <x:c r="A15" s="2" t="str">
        <x:f>'Исходные данные'!B14</x:f>
        <x:v>Восточный</x:v>
      </x:c>
      <x:c r="B15" s="2" t="n">
        <x:f>IF('Исходные данные'!G14="Высокая",1,0)</x:f>
        <x:v>0</x:v>
      </x:c>
      <x:c r="C15" s="2" t="str">
        <x:f>'Исходные данные'!G14</x:f>
        <x:v>Средняя</x:v>
      </x:c>
      <x:c r="D15" s="2"/>
      <x:c r="E15" s="2"/>
      <x:c r="F15" s="2"/>
      <x:c r="G15" s="2"/>
    </x:row>
    <x:row r="16">
      <x:c r="A16" s="2" t="str">
        <x:f>'Исходные данные'!B15</x:f>
        <x:v>Восточный</x:v>
      </x:c>
      <x:c r="B16" s="2" t="n">
        <x:f>IF('Исходные данные'!G15="Высокая",1,0)</x:f>
        <x:v>0</x:v>
      </x:c>
      <x:c r="C16" s="2" t="str">
        <x:f>'Исходные данные'!G15</x:f>
        <x:v>Средняя</x:v>
      </x:c>
      <x:c r="D16" s="2"/>
      <x:c r="E16" s="2"/>
      <x:c r="F16" s="2"/>
      <x:c r="G16" s="2"/>
    </x:row>
    <x:row r="17">
      <x:c r="A17" s="2" t="str">
        <x:f>'Исходные данные'!B16</x:f>
        <x:v>Южный</x:v>
      </x:c>
      <x:c r="B17" s="2" t="n">
        <x:f>IF('Исходные данные'!G16="Высокая",1,0)</x:f>
        <x:v>0</x:v>
      </x:c>
      <x:c r="C17" s="2" t="str">
        <x:f>'Исходные данные'!G16</x:f>
        <x:v>Средняя</x:v>
      </x:c>
      <x:c r="D17" s="2"/>
      <x:c r="E17" s="2"/>
      <x:c r="F17" s="2"/>
      <x:c r="G17" s="2"/>
    </x:row>
    <x:row r="18">
      <x:c r="A18" s="2" t="str">
        <x:f>'Исходные данные'!B17</x:f>
        <x:v>Северный</x:v>
      </x:c>
      <x:c r="B18" s="2" t="n">
        <x:f>IF('Исходные данные'!G17="Высокая",1,0)</x:f>
        <x:v>0</x:v>
      </x:c>
      <x:c r="C18" s="2" t="str">
        <x:f>'Исходные данные'!G17</x:f>
        <x:v>Средняя</x:v>
      </x:c>
      <x:c r="D18" s="2"/>
      <x:c r="E18" s="2"/>
      <x:c r="F18" s="2"/>
      <x:c r="G18" s="2"/>
    </x:row>
    <x:row r="19">
      <x:c r="A19" s="2" t="str">
        <x:f>'Исходные данные'!B18</x:f>
        <x:v>Центральный</x:v>
      </x:c>
      <x:c r="B19" s="2" t="n">
        <x:f>IF('Исходные данные'!G18="Высокая",1,0)</x:f>
        <x:v>0</x:v>
      </x:c>
      <x:c r="C19" s="2" t="str">
        <x:f>'Исходные данные'!G18</x:f>
        <x:v>Средняя</x:v>
      </x:c>
      <x:c r="D19" s="2"/>
      <x:c r="E19" s="2"/>
      <x:c r="F19" s="2"/>
      <x:c r="G19" s="2"/>
    </x:row>
    <x:row r="20">
      <x:c r="A20" s="2" t="str">
        <x:f>'Исходные данные'!B19</x:f>
        <x:v>Центральный</x:v>
      </x:c>
      <x:c r="B20" s="2" t="n">
        <x:f>IF('Исходные данные'!G19="Высокая",1,0)</x:f>
        <x:v>1</x:v>
      </x:c>
      <x:c r="C20" s="2" t="str">
        <x:f>'Исходные данные'!G19</x:f>
        <x:v>Высокая</x:v>
      </x:c>
      <x:c r="D20" s="2"/>
      <x:c r="E20" s="2"/>
      <x:c r="F20" s="2"/>
      <x:c r="G20" s="2"/>
    </x:row>
    <x:row r="21">
      <x:c r="A21" s="2" t="str">
        <x:f>'Исходные данные'!B20</x:f>
        <x:v>Промышленный</x:v>
      </x:c>
      <x:c r="B21" s="2" t="n">
        <x:f>IF('Исходные данные'!G20="Высокая",1,0)</x:f>
        <x:v>1</x:v>
      </x:c>
      <x:c r="C21" s="2" t="str">
        <x:f>'Исходные данные'!G20</x:f>
        <x:v>Высокая</x:v>
      </x:c>
      <x:c r="D21" s="2"/>
      <x:c r="E21" s="2"/>
      <x:c r="F21" s="2"/>
      <x:c r="G21" s="2"/>
    </x:row>
    <x:row r="22">
      <x:c r="A22" s="2" t="str">
        <x:f>'Исходные данные'!B21</x:f>
        <x:v>Западный</x:v>
      </x:c>
      <x:c r="B22" s="2" t="n">
        <x:f>IF('Исходные данные'!G21="Высокая",1,0)</x:f>
        <x:v>0</x:v>
      </x:c>
      <x:c r="C22" s="2" t="str">
        <x:f>'Исходные данные'!G21</x:f>
        <x:v>Средняя</x:v>
      </x:c>
      <x:c r="D22" s="2"/>
      <x:c r="E22" s="2"/>
      <x:c r="F22" s="2"/>
      <x:c r="G22" s="2"/>
    </x:row>
    <x:row r="23">
      <x:c r="A23" s="2" t="str">
        <x:f>'Исходные данные'!B22</x:f>
        <x:v>Восточный</x:v>
      </x:c>
      <x:c r="B23" s="2" t="n">
        <x:f>IF('Исходные данные'!G22="Высокая",1,0)</x:f>
        <x:v>0</x:v>
      </x:c>
      <x:c r="C23" s="2" t="str">
        <x:f>'Исходные данные'!G22</x:f>
        <x:v>Средняя</x:v>
      </x:c>
      <x:c r="D23" s="2"/>
      <x:c r="E23" s="2"/>
      <x:c r="F23" s="2"/>
      <x:c r="G23" s="2"/>
    </x:row>
    <x:row r="24">
      <x:c r="A24" s="2" t="str">
        <x:f>'Исходные данные'!B23</x:f>
        <x:v>Восточный</x:v>
      </x:c>
      <x:c r="B24" s="2" t="n">
        <x:f>IF('Исходные данные'!G23="Высокая",1,0)</x:f>
        <x:v>0</x:v>
      </x:c>
      <x:c r="C24" s="2" t="str">
        <x:f>'Исходные данные'!G23</x:f>
        <x:v>Средняя</x:v>
      </x:c>
      <x:c r="D24" s="2"/>
      <x:c r="E24" s="2"/>
      <x:c r="F24" s="2"/>
      <x:c r="G24" s="2"/>
    </x:row>
    <x:row r="25">
      <x:c r="A25" s="2" t="str">
        <x:f>'Исходные данные'!B24</x:f>
        <x:v>Южный</x:v>
      </x:c>
      <x:c r="B25" s="2" t="n">
        <x:f>IF('Исходные данные'!G24="Высокая",1,0)</x:f>
        <x:v>0</x:v>
      </x:c>
      <x:c r="C25" s="2" t="str">
        <x:f>'Исходные данные'!G24</x:f>
        <x:v>Средняя</x:v>
      </x:c>
      <x:c r="D25" s="2"/>
      <x:c r="E25" s="2"/>
      <x:c r="F25" s="2"/>
      <x:c r="G25" s="2"/>
    </x:row>
    <x:row r="26">
      <x:c r="A26" s="2" t="str">
        <x:f>'Исходные данные'!B25</x:f>
        <x:v>Северный</x:v>
      </x:c>
      <x:c r="B26" s="2" t="n">
        <x:f>IF('Исходные данные'!G25="Высокая",1,0)</x:f>
        <x:v>1</x:v>
      </x:c>
      <x:c r="C26" s="2" t="str">
        <x:f>'Исходные данные'!G25</x:f>
        <x:v>Высокая</x:v>
      </x:c>
      <x:c r="D26" s="2"/>
      <x:c r="E26" s="2"/>
      <x:c r="F26" s="2"/>
      <x:c r="G26" s="2"/>
    </x:row>
    <x:row r="27">
      <x:c r="A27" s="2" t="str">
        <x:f>'Исходные данные'!B26</x:f>
        <x:v>Центральный</x:v>
      </x:c>
      <x:c r="B27" s="2" t="n">
        <x:f>IF('Исходные данные'!G26="Высокая",1,0)</x:f>
        <x:v>0</x:v>
      </x:c>
      <x:c r="C27" s="2" t="str">
        <x:f>'Исходные данные'!G26</x:f>
        <x:v>Средняя</x:v>
      </x:c>
      <x:c r="D27" s="2"/>
      <x:c r="E27" s="2"/>
      <x:c r="F27" s="2"/>
      <x:c r="G27" s="2"/>
    </x:row>
    <x:row r="28">
      <x:c r="A28" s="2" t="str">
        <x:f>'Исходные данные'!B27</x:f>
        <x:v>Центральный</x:v>
      </x:c>
      <x:c r="B28" s="2" t="n">
        <x:f>IF('Исходные данные'!G27="Высокая",1,0)</x:f>
        <x:v>0</x:v>
      </x:c>
      <x:c r="C28" s="2" t="str">
        <x:f>'Исходные данные'!G27</x:f>
        <x:v>Средняя</x:v>
      </x:c>
      <x:c r="D28" s="2"/>
      <x:c r="E28" s="2"/>
      <x:c r="F28" s="2"/>
      <x:c r="G28" s="2"/>
    </x:row>
    <x:row r="29">
      <x:c r="A29" s="2" t="str">
        <x:f>'Исходные данные'!B28</x:f>
        <x:v>Промышленный</x:v>
      </x:c>
      <x:c r="B29" s="2" t="n">
        <x:f>IF('Исходные данные'!G28="Высокая",1,0)</x:f>
        <x:v>0</x:v>
      </x:c>
      <x:c r="C29" s="2" t="str">
        <x:f>'Исходные данные'!G28</x:f>
        <x:v>Средняя</x:v>
      </x:c>
      <x:c r="D29" s="2"/>
      <x:c r="E29" s="2"/>
      <x:c r="F29" s="2"/>
      <x:c r="G29" s="2"/>
    </x:row>
    <x:row r="30">
      <x:c r="A30" s="2" t="str">
        <x:f>'Исходные данные'!B29</x:f>
        <x:v>Западный</x:v>
      </x:c>
      <x:c r="B30" s="2" t="n">
        <x:f>IF('Исходные данные'!G29="Высокая",1,0)</x:f>
        <x:v>0</x:v>
      </x:c>
      <x:c r="C30" s="2" t="str">
        <x:f>'Исходные данные'!G29</x:f>
        <x:v>Средняя</x:v>
      </x:c>
      <x:c r="D30" s="2"/>
      <x:c r="E30" s="2"/>
      <x:c r="F30" s="2"/>
      <x:c r="G30" s="2"/>
    </x:row>
    <x:row r="31">
      <x:c r="A31" s="2" t="str">
        <x:f>'Исходные данные'!B30</x:f>
        <x:v>Восточный</x:v>
      </x:c>
      <x:c r="B31" s="2" t="n">
        <x:f>IF('Исходные данные'!G30="Высокая",1,0)</x:f>
        <x:v>0</x:v>
      </x:c>
      <x:c r="C31" s="2" t="str">
        <x:f>'Исходные данные'!G30</x:f>
        <x:v>Средняя</x:v>
      </x:c>
      <x:c r="D31" s="2"/>
      <x:c r="E31" s="2"/>
      <x:c r="F31" s="2"/>
      <x:c r="G31" s="2"/>
    </x:row>
    <x:row r="32">
      <x:c r="A32" s="2" t="str">
        <x:f>'Исходные данные'!B31</x:f>
        <x:v>Восточный</x:v>
      </x:c>
      <x:c r="B32" s="2" t="n">
        <x:f>IF('Исходные данные'!G31="Высокая",1,0)</x:f>
        <x:v>0</x:v>
      </x:c>
      <x:c r="C32" s="2" t="str">
        <x:f>'Исходные данные'!G31</x:f>
        <x:v>Средняя</x:v>
      </x:c>
      <x:c r="D32" s="2"/>
      <x:c r="E32" s="2"/>
      <x:c r="F32" s="2"/>
      <x:c r="G32" s="2"/>
    </x:row>
    <x:row r="33">
      <x:c r="A33" s="2" t="str">
        <x:f>'Исходные данные'!B32</x:f>
        <x:v>Южный</x:v>
      </x:c>
      <x:c r="B33" s="2" t="n">
        <x:f>IF('Исходные данные'!G32="Высокая",1,0)</x:f>
        <x:v>1</x:v>
      </x:c>
      <x:c r="C33" s="2" t="str">
        <x:f>'Исходные данные'!G32</x:f>
        <x:v>Высокая</x:v>
      </x:c>
      <x:c r="D33" s="2"/>
      <x:c r="E33" s="2"/>
      <x:c r="F33" s="2"/>
      <x:c r="G33" s="2"/>
    </x:row>
    <x:row r="34">
      <x:c r="A34" s="2" t="str">
        <x:f>'Исходные данные'!B33</x:f>
        <x:v>Северный</x:v>
      </x:c>
      <x:c r="B34" s="2" t="n">
        <x:f>IF('Исходные данные'!G33="Высокая",1,0)</x:f>
        <x:v>0</x:v>
      </x:c>
      <x:c r="C34" s="2" t="str">
        <x:f>'Исходные данные'!G33</x:f>
        <x:v>Средняя</x:v>
      </x:c>
      <x:c r="D34" s="2"/>
      <x:c r="E34" s="2"/>
      <x:c r="F34" s="2"/>
      <x:c r="G34" s="2"/>
    </x:row>
    <x:row r="35">
      <x:c r="A35" s="2" t="str">
        <x:f>'Исходные данные'!B34</x:f>
        <x:v>Центральный</x:v>
      </x:c>
      <x:c r="B35" s="2" t="n">
        <x:f>IF('Исходные данные'!G34="Высокая",1,0)</x:f>
        <x:v>0</x:v>
      </x:c>
      <x:c r="C35" s="2" t="str">
        <x:f>'Исходные данные'!G34</x:f>
        <x:v>Низкая</x:v>
      </x:c>
      <x:c r="D35" s="2"/>
      <x:c r="E35" s="2"/>
      <x:c r="F35" s="2"/>
      <x:c r="G35" s="2"/>
    </x:row>
    <x:row r="36">
      <x:c r="A36" s="2" t="str">
        <x:f>'Исходные данные'!B35</x:f>
        <x:v>Центральный</x:v>
      </x:c>
      <x:c r="B36" s="2" t="n">
        <x:f>IF('Исходные данные'!G35="Высокая",1,0)</x:f>
        <x:v>0</x:v>
      </x:c>
      <x:c r="C36" s="2" t="str">
        <x:f>'Исходные данные'!G35</x:f>
        <x:v>Средняя</x:v>
      </x:c>
      <x:c r="D36" s="2"/>
      <x:c r="E36" s="2"/>
      <x:c r="F36" s="2"/>
      <x:c r="G36" s="2"/>
    </x:row>
    <x:row r="37">
      <x:c r="A37" s="2" t="str">
        <x:f>'Исходные данные'!B36</x:f>
        <x:v>Промышленный</x:v>
      </x:c>
      <x:c r="B37" s="2" t="n">
        <x:f>IF('Исходные данные'!G36="Высокая",1,0)</x:f>
        <x:v>1</x:v>
      </x:c>
      <x:c r="C37" s="2" t="str">
        <x:f>'Исходные данные'!G36</x:f>
        <x:v>Высокая</x:v>
      </x:c>
      <x:c r="D37" s="2"/>
      <x:c r="E37" s="2"/>
      <x:c r="F37" s="2"/>
      <x:c r="G37" s="2"/>
    </x:row>
    <x:row r="38">
      <x:c r="A38" s="2" t="str">
        <x:f>'Исходные данные'!B37</x:f>
        <x:v>Западный</x:v>
      </x:c>
      <x:c r="B38" s="2" t="n">
        <x:f>IF('Исходные данные'!G37="Высокая",1,0)</x:f>
        <x:v>1</x:v>
      </x:c>
      <x:c r="C38" s="2" t="str">
        <x:f>'Исходные данные'!G37</x:f>
        <x:v>Высокая</x:v>
      </x:c>
      <x:c r="D38" s="2"/>
      <x:c r="E38" s="2"/>
      <x:c r="F38" s="2"/>
      <x:c r="G38" s="2"/>
    </x:row>
    <x:row r="39">
      <x:c r="A39" s="2" t="str">
        <x:f>'Исходные данные'!B38</x:f>
        <x:v>Восточный</x:v>
      </x:c>
      <x:c r="B39" s="2" t="n">
        <x:f>IF('Исходные данные'!G38="Высокая",1,0)</x:f>
        <x:v>0</x:v>
      </x:c>
      <x:c r="C39" s="2" t="str">
        <x:f>'Исходные данные'!G38</x:f>
        <x:v>Средняя</x:v>
      </x:c>
      <x:c r="D39" s="2"/>
      <x:c r="E39" s="2"/>
      <x:c r="F39" s="2"/>
      <x:c r="G39" s="2"/>
    </x:row>
    <x:row r="40">
      <x:c r="A40" s="2" t="str">
        <x:f>'Исходные данные'!B39</x:f>
        <x:v>Восточный</x:v>
      </x:c>
      <x:c r="B40" s="2" t="n">
        <x:f>IF('Исходные данные'!G39="Высокая",1,0)</x:f>
        <x:v>0</x:v>
      </x:c>
      <x:c r="C40" s="2" t="str">
        <x:f>'Исходные данные'!G39</x:f>
        <x:v>Средняя</x:v>
      </x:c>
      <x:c r="D40" s="2"/>
      <x:c r="E40" s="2"/>
      <x:c r="F40" s="2"/>
      <x:c r="G40" s="2"/>
    </x:row>
    <x:row r="41">
      <x:c r="A41" s="2" t="str">
        <x:f>'Исходные данные'!B40</x:f>
        <x:v>Южный</x:v>
      </x:c>
      <x:c r="B41" s="2" t="n">
        <x:f>IF('Исходные данные'!G40="Высокая",1,0)</x:f>
        <x:v>0</x:v>
      </x:c>
      <x:c r="C41" s="2" t="str">
        <x:f>'Исходные данные'!G40</x:f>
        <x:v>Средняя</x:v>
      </x:c>
      <x:c r="D41" s="2"/>
      <x:c r="E41" s="2"/>
      <x:c r="F41" s="2"/>
      <x:c r="G41" s="2"/>
    </x:row>
    <x:row r="42">
      <x:c r="A42" s="2" t="str">
        <x:f>'Исходные данные'!B41</x:f>
        <x:v>Северный</x:v>
      </x:c>
      <x:c r="B42" s="2" t="n">
        <x:f>IF('Исходные данные'!G41="Высокая",1,0)</x:f>
        <x:v>0</x:v>
      </x:c>
      <x:c r="C42" s="2" t="str">
        <x:f>'Исходные данные'!G41</x:f>
        <x:v>Средняя</x:v>
      </x:c>
      <x:c r="D42" s="2"/>
      <x:c r="E42" s="2"/>
      <x:c r="F42" s="2"/>
      <x:c r="G42" s="2"/>
    </x:row>
    <x:row r="43">
      <x:c r="A43" s="2" t="str">
        <x:f>'Исходные данные'!B42</x:f>
        <x:v>Центральный</x:v>
      </x:c>
      <x:c r="B43" s="2" t="n">
        <x:f>IF('Исходные данные'!G42="Высокая",1,0)</x:f>
        <x:v>1</x:v>
      </x:c>
      <x:c r="C43" s="2" t="str">
        <x:f>'Исходные данные'!G42</x:f>
        <x:v>Высокая</x:v>
      </x:c>
      <x:c r="D43" s="2"/>
      <x:c r="E43" s="2"/>
      <x:c r="F43" s="2"/>
      <x:c r="G43" s="2"/>
    </x:row>
    <x:row r="44">
      <x:c r="A44" s="2" t="str">
        <x:f>'Исходные данные'!B43</x:f>
        <x:v>Центральный</x:v>
      </x:c>
      <x:c r="B44" s="2" t="n">
        <x:f>IF('Исходные данные'!G43="Высокая",1,0)</x:f>
        <x:v>1</x:v>
      </x:c>
      <x:c r="C44" s="2" t="str">
        <x:f>'Исходные данные'!G43</x:f>
        <x:v>Высокая</x:v>
      </x:c>
      <x:c r="D44" s="2"/>
      <x:c r="E44" s="2"/>
      <x:c r="F44" s="2"/>
      <x:c r="G44" s="2"/>
    </x:row>
    <x:row r="45">
      <x:c r="A45" s="2" t="str">
        <x:f>'Исходные данные'!B44</x:f>
        <x:v>Промышленный</x:v>
      </x:c>
      <x:c r="B45" s="2" t="n">
        <x:f>IF('Исходные данные'!G44="Высокая",1,0)</x:f>
        <x:v>1</x:v>
      </x:c>
      <x:c r="C45" s="2" t="str">
        <x:f>'Исходные данные'!G44</x:f>
        <x:v>Высокая</x:v>
      </x:c>
      <x:c r="D45" s="2"/>
      <x:c r="E45" s="2"/>
      <x:c r="F45" s="2"/>
      <x:c r="G45" s="2"/>
    </x:row>
    <x:row r="46">
      <x:c r="A46" s="2" t="str">
        <x:f>'Исходные данные'!B45</x:f>
        <x:v>Западный</x:v>
      </x:c>
      <x:c r="B46" s="2" t="n">
        <x:f>IF('Исходные данные'!G45="Высокая",1,0)</x:f>
        <x:v>0</x:v>
      </x:c>
      <x:c r="C46" s="2" t="str">
        <x:f>'Исходные данные'!G45</x:f>
        <x:v>Средняя</x:v>
      </x:c>
      <x:c r="D46" s="2"/>
      <x:c r="E46" s="2"/>
      <x:c r="F46" s="2"/>
      <x:c r="G46" s="2"/>
    </x:row>
    <x:row r="47">
      <x:c r="A47" s="2" t="str">
        <x:f>'Исходные данные'!B46</x:f>
        <x:v>Восточный</x:v>
      </x:c>
      <x:c r="B47" s="2" t="n">
        <x:f>IF('Исходные данные'!G46="Высокая",1,0)</x:f>
        <x:v>0</x:v>
      </x:c>
      <x:c r="C47" s="2" t="str">
        <x:f>'Исходные данные'!G46</x:f>
        <x:v>Средняя</x:v>
      </x:c>
      <x:c r="D47" s="2"/>
      <x:c r="E47" s="2"/>
      <x:c r="F47" s="2"/>
      <x:c r="G47" s="2"/>
    </x:row>
    <x:row r="48">
      <x:c r="A48" s="2" t="str">
        <x:f>'Исходные данные'!B47</x:f>
        <x:v>Восточный</x:v>
      </x:c>
      <x:c r="B48" s="2" t="n">
        <x:f>IF('Исходные данные'!G47="Высокая",1,0)</x:f>
        <x:v>0</x:v>
      </x:c>
      <x:c r="C48" s="2" t="str">
        <x:f>'Исходные данные'!G47</x:f>
        <x:v>Средняя</x:v>
      </x:c>
      <x:c r="D48" s="2"/>
      <x:c r="E48" s="2"/>
      <x:c r="F48" s="2"/>
      <x:c r="G48" s="2"/>
    </x:row>
    <x:row r="49">
      <x:c r="A49" s="2" t="str">
        <x:f>'Исходные данные'!B48</x:f>
        <x:v>Южный</x:v>
      </x:c>
      <x:c r="B49" s="2" t="n">
        <x:f>IF('Исходные данные'!G48="Высокая",1,0)</x:f>
        <x:v>0</x:v>
      </x:c>
      <x:c r="C49" s="2" t="str">
        <x:f>'Исходные данные'!G48</x:f>
        <x:v>Средняя</x:v>
      </x:c>
      <x:c r="D49" s="2"/>
      <x:c r="E49" s="2"/>
      <x:c r="F49" s="2"/>
      <x:c r="G49" s="2"/>
    </x:row>
    <x:row r="50">
      <x:c r="A50" s="2" t="str">
        <x:f>'Исходные данные'!B49</x:f>
        <x:v>Северный</x:v>
      </x:c>
      <x:c r="B50" s="2" t="n">
        <x:f>IF('Исходные данные'!G49="Высокая",1,0)</x:f>
        <x:v>0</x:v>
      </x:c>
      <x:c r="C50" s="2" t="str">
        <x:f>'Исходные данные'!G49</x:f>
        <x:v>Средняя</x:v>
      </x:c>
      <x:c r="D50" s="2"/>
      <x:c r="E50" s="2"/>
      <x:c r="F50" s="2"/>
      <x:c r="G50" s="2"/>
    </x:row>
    <x:row r="51">
      <x:c r="A51" s="2" t="str">
        <x:f>'Исходные данные'!B50</x:f>
        <x:v>Центральный</x:v>
      </x:c>
      <x:c r="B51" s="2" t="n">
        <x:f>IF('Исходные данные'!G50="Высокая",1,0)</x:f>
        <x:v>1</x:v>
      </x:c>
      <x:c r="C51" s="2" t="str">
        <x:f>'Исходные данные'!G50</x:f>
        <x:v>Высокая</x:v>
      </x:c>
      <x:c r="D51" s="2"/>
      <x:c r="E51" s="2"/>
      <x:c r="F51" s="2"/>
      <x:c r="G51" s="2"/>
    </x:row>
    <x:row r="52">
      <x:c r="A52" s="2" t="str">
        <x:f>'Исходные данные'!B51</x:f>
        <x:v>Центральный</x:v>
      </x:c>
      <x:c r="B52" s="2" t="n">
        <x:f>IF('Исходные данные'!G51="Высокая",1,0)</x:f>
        <x:v>0</x:v>
      </x:c>
      <x:c r="C52" s="2" t="str">
        <x:f>'Исходные данные'!G51</x:f>
        <x:v>Низкая</x:v>
      </x:c>
      <x:c r="D52" s="2"/>
      <x:c r="E52" s="2"/>
      <x:c r="F52" s="2"/>
      <x:c r="G52" s="2"/>
    </x:row>
    <x:row r="53">
      <x:c r="A53" s="2" t="str">
        <x:f>'Исходные данные'!B52</x:f>
        <x:v>Промышленный</x:v>
      </x:c>
      <x:c r="B53" s="2" t="n">
        <x:f>IF('Исходные данные'!G52="Высокая",1,0)</x:f>
        <x:v>0</x:v>
      </x:c>
      <x:c r="C53" s="2" t="str">
        <x:f>'Исходные данные'!G52</x:f>
        <x:v>Средняя</x:v>
      </x:c>
      <x:c r="D53" s="2"/>
      <x:c r="E53" s="2"/>
      <x:c r="F53" s="2"/>
      <x:c r="G53" s="2"/>
    </x:row>
    <x:row r="54">
      <x:c r="A54" s="2" t="str">
        <x:f>'Исходные данные'!B53</x:f>
        <x:v>Западный</x:v>
      </x:c>
      <x:c r="B54" s="2" t="n">
        <x:f>IF('Исходные данные'!G53="Высокая",1,0)</x:f>
        <x:v>0</x:v>
      </x:c>
      <x:c r="C54" s="2" t="str">
        <x:f>'Исходные данные'!G53</x:f>
        <x:v>Средняя</x:v>
      </x:c>
      <x:c r="D54" s="2"/>
      <x:c r="E54" s="2"/>
      <x:c r="F54" s="2"/>
      <x:c r="G54" s="2"/>
    </x:row>
    <x:row r="55">
      <x:c r="A55" s="2" t="str">
        <x:f>'Исходные данные'!B54</x:f>
        <x:v>Восточный</x:v>
      </x:c>
      <x:c r="B55" s="2" t="n">
        <x:f>IF('Исходные данные'!G54="Высокая",1,0)</x:f>
        <x:v>1</x:v>
      </x:c>
      <x:c r="C55" s="2" t="str">
        <x:f>'Исходные данные'!G54</x:f>
        <x:v>Высокая</x:v>
      </x:c>
      <x:c r="D55" s="2"/>
      <x:c r="E55" s="2"/>
      <x:c r="F55" s="2"/>
      <x:c r="G55" s="2"/>
    </x:row>
    <x:row r="56">
      <x:c r="A56" s="2" t="str">
        <x:f>'Исходные данные'!B55</x:f>
        <x:v>Восточный</x:v>
      </x:c>
      <x:c r="B56" s="2" t="n">
        <x:f>IF('Исходные данные'!G55="Высокая",1,0)</x:f>
        <x:v>1</x:v>
      </x:c>
      <x:c r="C56" s="2" t="str">
        <x:f>'Исходные данные'!G55</x:f>
        <x:v>Высокая</x:v>
      </x:c>
      <x:c r="D56" s="2"/>
      <x:c r="E56" s="2"/>
      <x:c r="F56" s="2"/>
      <x:c r="G56" s="2"/>
    </x:row>
    <x:row r="57">
      <x:c r="A57" s="2" t="str">
        <x:f>'Исходные данные'!B56</x:f>
        <x:v>Южный</x:v>
      </x:c>
      <x:c r="B57" s="2" t="n">
        <x:f>IF('Исходные данные'!G56="Высокая",1,0)</x:f>
        <x:v>0</x:v>
      </x:c>
      <x:c r="C57" s="2" t="str">
        <x:f>'Исходные данные'!G56</x:f>
        <x:v>Средняя</x:v>
      </x:c>
      <x:c r="D57" s="2"/>
      <x:c r="E57" s="2"/>
      <x:c r="F57" s="2"/>
      <x:c r="G57" s="2"/>
    </x:row>
    <x:row r="58">
      <x:c r="A58" s="2" t="str">
        <x:f>'Исходные данные'!B57</x:f>
        <x:v>Северный</x:v>
      </x:c>
      <x:c r="B58" s="2" t="n">
        <x:f>IF('Исходные данные'!G57="Высокая",1,0)</x:f>
        <x:v>0</x:v>
      </x:c>
      <x:c r="C58" s="2" t="str">
        <x:f>'Исходные данные'!G57</x:f>
        <x:v>Средняя</x:v>
      </x:c>
      <x:c r="D58" s="2"/>
      <x:c r="E58" s="2"/>
      <x:c r="F58" s="2"/>
      <x:c r="G58" s="2"/>
    </x:row>
    <x:row r="59">
      <x:c r="A59" s="2" t="str">
        <x:f>'Исходные данные'!B58</x:f>
        <x:v>Центральный</x:v>
      </x:c>
      <x:c r="B59" s="2" t="n">
        <x:f>IF('Исходные данные'!G58="Высокая",1,0)</x:f>
        <x:v>0</x:v>
      </x:c>
      <x:c r="C59" s="2" t="str">
        <x:f>'Исходные данные'!G58</x:f>
        <x:v>Низкая</x:v>
      </x:c>
      <x:c r="D59" s="2"/>
      <x:c r="E59" s="2"/>
      <x:c r="F59" s="2"/>
      <x:c r="G59" s="2"/>
    </x:row>
    <x:row r="60">
      <x:c r="A60" s="2" t="str">
        <x:f>'Исходные данные'!B59</x:f>
        <x:v>Центральный</x:v>
      </x:c>
      <x:c r="B60" s="2" t="n">
        <x:f>IF('Исходные данные'!G59="Высокая",1,0)</x:f>
        <x:v>0</x:v>
      </x:c>
      <x:c r="C60" s="2" t="str">
        <x:f>'Исходные данные'!G59</x:f>
        <x:v>Низкая</x:v>
      </x:c>
      <x:c r="D60" s="2"/>
      <x:c r="E60" s="2"/>
      <x:c r="F60" s="2"/>
      <x:c r="G60" s="2"/>
    </x:row>
    <x:row r="61">
      <x:c r="A61" s="2" t="str">
        <x:f>'Исходные данные'!B60</x:f>
        <x:v>Промышленный</x:v>
      </x:c>
      <x:c r="B61" s="2" t="n">
        <x:f>IF('Исходные данные'!G60="Высокая",1,0)</x:f>
        <x:v>1</x:v>
      </x:c>
      <x:c r="C61" s="2" t="str">
        <x:f>'Исходные данные'!G60</x:f>
        <x:v>Высокая</x:v>
      </x:c>
      <x:c r="D61" s="2"/>
      <x:c r="E61" s="2"/>
      <x:c r="F61" s="2"/>
      <x:c r="G61" s="2"/>
    </x:row>
    <x:row r="62">
      <x:c r="A62" s="2" t="str">
        <x:f>'Исходные данные'!B61</x:f>
        <x:v>Западный</x:v>
      </x:c>
      <x:c r="B62" s="2" t="n">
        <x:f>IF('Исходные данные'!G61="Высокая",1,0)</x:f>
        <x:v>0</x:v>
      </x:c>
      <x:c r="C62" s="2" t="str">
        <x:f>'Исходные данные'!G61</x:f>
        <x:v>Средняя</x:v>
      </x:c>
      <x:c r="D62" s="2"/>
      <x:c r="E62" s="2"/>
      <x:c r="F62" s="2"/>
      <x:c r="G62" s="2"/>
    </x:row>
    <x:row r="63">
      <x:c r="A63" s="2" t="str">
        <x:f>'Исходные данные'!B62</x:f>
        <x:v>Восточный</x:v>
      </x:c>
      <x:c r="B63" s="2" t="n">
        <x:f>IF('Исходные данные'!G62="Высокая",1,0)</x:f>
        <x:v>1</x:v>
      </x:c>
      <x:c r="C63" s="2" t="str">
        <x:f>'Исходные данные'!G62</x:f>
        <x:v>Высокая</x:v>
      </x:c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</x:sheetData>
  <x:mergeCells>
    <x:mergeCell ref="A1:G1"/>
    <x:mergeCell ref="A66:G6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149999618530273"/>
  <x:cols>
    <x:col min="1" max="6" width="27" customWidth="1"/>
  </x:cols>
  <x:sheetData>
    <x:row r="1" ht="16" customHeight="1">
      <x:c r="A1" s="6" t="s">
        <x:v>215</x:v>
      </x:c>
      <x:c r="B1" s="6"/>
      <x:c r="C1" s="6"/>
      <x:c r="D1" s="6"/>
      <x:c r="E1" s="6"/>
      <x:c r="F1" s="6"/>
    </x:row>
    <x:row r="2">
      <x:c r="A2" s="2"/>
      <x:c r="B2" s="2"/>
      <x:c r="C2" s="2"/>
      <x:c r="D2" s="2"/>
      <x:c r="E2" s="2"/>
      <x:c r="F2" s="2"/>
    </x:row>
    <x:row r="3">
      <x:c r="A3" s="1" t="s">
        <x:v>216</x:v>
      </x:c>
      <x:c r="B3" s="1" t="s">
        <x:v>217</x:v>
      </x:c>
      <x:c r="C3" s="1" t="s">
        <x:v>186</x:v>
      </x:c>
      <x:c r="D3" s="2"/>
      <x:c r="E3" s="1" t="s">
        <x:v>218</x:v>
      </x:c>
      <x:c r="F3" s="1" t="s">
        <x:v>161</x:v>
      </x:c>
    </x:row>
    <x:row r="4">
      <x:c r="A4" s="2" t="s">
        <x:v>219</x:v>
      </x:c>
      <x:c r="B4" s="2" t="s">
        <x:v>220</x:v>
      </x:c>
      <x:c r="C4" s="2" t="s">
        <x:v>221</x:v>
      </x:c>
      <x:c r="D4" s="2"/>
      <x:c r="E4" s="2" t="s">
        <x:v>222</x:v>
      </x:c>
      <x:c r="F4" s="2" t="s">
        <x:v>223</x:v>
      </x:c>
    </x:row>
    <x:row r="5">
      <x:c r="A5" s="2" t="s">
        <x:v>224</x:v>
      </x:c>
      <x:c r="B5" s="2" t="s">
        <x:v>225</x:v>
      </x:c>
      <x:c r="C5" s="2" t="s">
        <x:v>226</x:v>
      </x:c>
      <x:c r="D5" s="2"/>
      <x:c r="E5" s="2" t="s">
        <x:v>227</x:v>
      </x:c>
      <x:c r="F5" s="2" t="s">
        <x:v>228</x:v>
      </x:c>
    </x:row>
    <x:row r="6" ht="28.299999237060547">
      <x:c r="A6" s="2" t="s">
        <x:v>229</x:v>
      </x:c>
      <x:c r="B6" s="2" t="s">
        <x:v>230</x:v>
      </x:c>
      <x:c r="C6" s="2" t="s">
        <x:v>231</x:v>
      </x:c>
      <x:c r="D6" s="2"/>
      <x:c r="E6" s="2" t="s">
        <x:v>232</x:v>
      </x:c>
      <x:c r="F6" s="2" t="s">
        <x:v>233</x:v>
      </x:c>
    </x:row>
    <x:row r="7" ht="28.299999237060547">
      <x:c r="A7" s="2" t="s">
        <x:v>234</x:v>
      </x:c>
      <x:c r="B7" s="2" t="s">
        <x:v>235</x:v>
      </x:c>
      <x:c r="C7" s="2" t="s">
        <x:v>236</x:v>
      </x:c>
      <x:c r="D7" s="2"/>
      <x:c r="E7" s="2" t="s">
        <x:v>237</x:v>
      </x:c>
      <x:c r="F7" s="2" t="s">
        <x:v>235</x:v>
      </x:c>
    </x:row>
    <x:row r="8" ht="28.299999237060547">
      <x:c r="A8" s="2" t="s">
        <x:v>238</x:v>
      </x:c>
      <x:c r="B8" s="2" t="s">
        <x:v>239</x:v>
      </x:c>
      <x:c r="C8" s="2" t="s">
        <x:v>240</x:v>
      </x:c>
      <x:c r="D8" s="2"/>
      <x:c r="E8" s="2" t="s">
        <x:v>241</x:v>
      </x:c>
      <x:c r="F8" s="2" t="s">
        <x:v>242</x:v>
      </x:c>
    </x:row>
    <x:row r="9">
      <x:c r="A9" s="2" t="s">
        <x:v>243</x:v>
      </x:c>
      <x:c r="B9" s="2" t="s">
        <x:v>244</x:v>
      </x:c>
      <x:c r="C9" s="2" t="s">
        <x:v>245</x:v>
      </x:c>
      <x:c r="D9" s="2"/>
      <x:c r="E9" s="2"/>
      <x:c r="F9" s="2" t="s">
        <x:v>246</x:v>
      </x:c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 ht="28.299999237060547">
      <x:c r="A12" s="1" t="s">
        <x:v>24</x:v>
      </x:c>
      <x:c r="B12" s="1" t="s">
        <x:v>25</x:v>
      </x:c>
      <x:c r="C12" s="1" t="s">
        <x:v>247</x:v>
      </x:c>
      <x:c r="D12" s="2" t="s">
        <x:v>201</x:v>
      </x:c>
      <x:c r="E12" s="2" t="s">
        <x:v>195</x:v>
      </x:c>
      <x:c r="F12" s="2"/>
    </x:row>
    <x:row r="13">
      <x:c r="A13" s="2" t="s">
        <x:v>30</x:v>
      </x:c>
      <x:c r="B13" s="2" t="s">
        <x:v>248</x:v>
      </x:c>
      <x:c r="C13" s="2" t="n">
        <x:f>COUNTIFS('Исходные данные'!$F$3:$F$62,A13,'Исходные данные'!$G$3:$G$62,B13)</x:f>
        <x:v>4</x:v>
      </x:c>
      <x:c r="D13" s="4" t="n">
        <x:f>IF(C13=0,"",SUMIFS('Исходные данные'!$E$3:$E$62,'Исходные данные'!$F$3:$F$62,A13,'Исходные данные'!$G$3:$G$62,B13)/C13)</x:f>
        <x:v>65.875</x:v>
      </x:c>
      <x:c r="E13" s="4" t="n">
        <x:f>IF(C13=0,"",SUMIFS('Исходные данные'!$D$3:$D$62,'Исходные данные'!$F$3:$F$62,A13,'Исходные данные'!$G$3:$G$62,B13)/C13)</x:f>
        <x:v>5.5424999999999995</x:v>
      </x:c>
      <x:c r="F13" s="2"/>
    </x:row>
    <x:row r="14">
      <x:c r="A14" s="2" t="s">
        <x:v>30</x:v>
      </x:c>
      <x:c r="B14" s="2" t="s">
        <x:v>249</x:v>
      </x:c>
      <x:c r="C14" s="2" t="n">
        <x:f>COUNTIFS('Исходные данные'!$F$3:$F$62,A14,'Исходные данные'!$G$3:$G$62,B14)</x:f>
        <x:v>16</x:v>
      </x:c>
      <x:c r="D14" s="4" t="n">
        <x:f>IF(C14=0,"",SUMIFS('Исходные данные'!$E$3:$E$62,'Исходные данные'!$F$3:$F$62,A14,'Исходные данные'!$G$3:$G$62,B14)/C14)</x:f>
        <x:v>42.775000000000006</x:v>
      </x:c>
      <x:c r="E14" s="4" t="n">
        <x:f>IF(C14=0,"",SUMIFS('Исходные данные'!$D$3:$D$62,'Исходные данные'!$F$3:$F$62,A14,'Исходные данные'!$G$3:$G$62,B14)/C14)</x:f>
        <x:v>3.493125</x:v>
      </x:c>
      <x:c r="F14" s="2"/>
    </x:row>
    <x:row r="15">
      <x:c r="A15" s="2" t="s">
        <x:v>30</x:v>
      </x:c>
      <x:c r="B15" s="2" t="s">
        <x:v>250</x:v>
      </x:c>
      <x:c r="C15" s="2" t="n">
        <x:f>COUNTIFS('Исходные данные'!$F$3:$F$62,A15,'Исходные данные'!$G$3:$G$62,B15)</x:f>
        <x:v>0</x:v>
      </x:c>
      <x:c r="D15" s="4" t="str">
        <x:f>IF(C15=0,"",SUMIFS('Исходные данные'!$E$3:$E$62,'Исходные данные'!$F$3:$F$62,A15,'Исходные данные'!$G$3:$G$62,B15)/C15)</x:f>
      </x:c>
      <x:c r="E15" s="4" t="str">
        <x:f>IF(C15=0,"",SUMIFS('Исходные данные'!$D$3:$D$62,'Исходные данные'!$F$3:$F$62,A15,'Исходные данные'!$G$3:$G$62,B15)/C15)</x:f>
      </x:c>
      <x:c r="F15" s="2"/>
    </x:row>
    <x:row r="16">
      <x:c r="A16" s="2" t="s">
        <x:v>38</x:v>
      </x:c>
      <x:c r="B16" s="2" t="s">
        <x:v>248</x:v>
      </x:c>
      <x:c r="C16" s="2" t="n">
        <x:f>COUNTIFS('Исходные данные'!$F$3:$F$62,A16,'Исходные данные'!$G$3:$G$62,B16)</x:f>
        <x:v>5</x:v>
      </x:c>
      <x:c r="D16" s="4" t="n">
        <x:f>IF(C16=0,"",SUMIFS('Исходные данные'!$E$3:$E$62,'Исходные данные'!$F$3:$F$62,A16,'Исходные данные'!$G$3:$G$62,B16)/C16)</x:f>
        <x:v>66.32000000000001</x:v>
      </x:c>
      <x:c r="E16" s="4" t="n">
        <x:f>IF(C16=0,"",SUMIFS('Исходные данные'!$D$3:$D$62,'Исходные данные'!$F$3:$F$62,A16,'Исходные данные'!$G$3:$G$62,B16)/C16)</x:f>
        <x:v>5.506</x:v>
      </x:c>
      <x:c r="F16" s="2"/>
    </x:row>
    <x:row r="17">
      <x:c r="A17" s="2" t="s">
        <x:v>38</x:v>
      </x:c>
      <x:c r="B17" s="2" t="s">
        <x:v>249</x:v>
      </x:c>
      <x:c r="C17" s="2" t="n">
        <x:f>COUNTIFS('Исходные данные'!$F$3:$F$62,A17,'Исходные данные'!$G$3:$G$62,B17)</x:f>
        <x:v>13</x:v>
      </x:c>
      <x:c r="D17" s="4" t="n">
        <x:f>IF(C17=0,"",SUMIFS('Исходные данные'!$E$3:$E$62,'Исходные данные'!$F$3:$F$62,A17,'Исходные данные'!$G$3:$G$62,B17)/C17)</x:f>
        <x:v>46.915384615384625</x:v>
      </x:c>
      <x:c r="E17" s="4" t="n">
        <x:f>IF(C17=0,"",SUMIFS('Исходные данные'!$D$3:$D$62,'Исходные данные'!$F$3:$F$62,A17,'Исходные данные'!$G$3:$G$62,B17)/C17)</x:f>
        <x:v>3.609230769230769</x:v>
      </x:c>
      <x:c r="F17" s="2"/>
    </x:row>
    <x:row r="18">
      <x:c r="A18" s="2" t="s">
        <x:v>38</x:v>
      </x:c>
      <x:c r="B18" s="2" t="s">
        <x:v>250</x:v>
      </x:c>
      <x:c r="C18" s="2" t="n">
        <x:f>COUNTIFS('Исходные данные'!$F$3:$F$62,A18,'Исходные данные'!$G$3:$G$62,B18)</x:f>
        <x:v>2</x:v>
      </x:c>
      <x:c r="D18" s="4" t="n">
        <x:f>IF(C18=0,"",SUMIFS('Исходные данные'!$E$3:$E$62,'Исходные данные'!$F$3:$F$62,A18,'Исходные данные'!$G$3:$G$62,B18)/C18)</x:f>
        <x:v>36.45</x:v>
      </x:c>
      <x:c r="E18" s="4" t="n">
        <x:f>IF(C18=0,"",SUMIFS('Исходные данные'!$D$3:$D$62,'Исходные данные'!$F$3:$F$62,A18,'Исходные данные'!$G$3:$G$62,B18)/C18)</x:f>
        <x:v>2.2649999999999997</x:v>
      </x:c>
      <x:c r="F18" s="2"/>
    </x:row>
    <x:row r="19">
      <x:c r="A19" s="2" t="s">
        <x:v>34</x:v>
      </x:c>
      <x:c r="B19" s="2" t="s">
        <x:v>248</x:v>
      </x:c>
      <x:c r="C19" s="2" t="n">
        <x:f>COUNTIFS('Исходные данные'!$F$3:$F$62,A19,'Исходные данные'!$G$3:$G$62,B19)</x:f>
        <x:v>7</x:v>
      </x:c>
      <x:c r="D19" s="4" t="n">
        <x:f>IF(C19=0,"",SUMIFS('Исходные данные'!$E$3:$E$62,'Исходные данные'!$F$3:$F$62,A19,'Исходные данные'!$G$3:$G$62,B19)/C19)</x:f>
        <x:v>64.54285714285716</x:v>
      </x:c>
      <x:c r="E19" s="4" t="n">
        <x:f>IF(C19=0,"",SUMIFS('Исходные данные'!$D$3:$D$62,'Исходные данные'!$F$3:$F$62,A19,'Исходные данные'!$G$3:$G$62,B19)/C19)</x:f>
        <x:v>5.482857142857143</x:v>
      </x:c>
      <x:c r="F19" s="2"/>
    </x:row>
    <x:row r="20">
      <x:c r="A20" s="2" t="s">
        <x:v>34</x:v>
      </x:c>
      <x:c r="B20" s="2" t="s">
        <x:v>249</x:v>
      </x:c>
      <x:c r="C20" s="2" t="n">
        <x:f>COUNTIFS('Исходные данные'!$F$3:$F$62,A20,'Исходные данные'!$G$3:$G$62,B20)</x:f>
        <x:v>11</x:v>
      </x:c>
      <x:c r="D20" s="4" t="n">
        <x:f>IF(C20=0,"",SUMIFS('Исходные данные'!$E$3:$E$62,'Исходные данные'!$F$3:$F$62,A20,'Исходные данные'!$G$3:$G$62,B20)/C20)</x:f>
        <x:v>48.645454545454534</x:v>
      </x:c>
      <x:c r="E20" s="4" t="n">
        <x:f>IF(C20=0,"",SUMIFS('Исходные данные'!$D$3:$D$62,'Исходные данные'!$F$3:$F$62,A20,'Исходные данные'!$G$3:$G$62,B20)/C20)</x:f>
        <x:v>3.6190909090909087</x:v>
      </x:c>
      <x:c r="F20" s="2"/>
    </x:row>
    <x:row r="21">
      <x:c r="A21" s="2" t="s">
        <x:v>34</x:v>
      </x:c>
      <x:c r="B21" s="2" t="s">
        <x:v>250</x:v>
      </x:c>
      <x:c r="C21" s="2" t="n">
        <x:f>COUNTIFS('Исходные данные'!$F$3:$F$62,A21,'Исходные данные'!$G$3:$G$62,B21)</x:f>
        <x:v>2</x:v>
      </x:c>
      <x:c r="D21" s="4" t="n">
        <x:f>IF(C21=0,"",SUMIFS('Исходные данные'!$E$3:$E$62,'Исходные данные'!$F$3:$F$62,A21,'Исходные данные'!$G$3:$G$62,B21)/C21)</x:f>
        <x:v>35.1</x:v>
      </x:c>
      <x:c r="E21" s="4" t="n">
        <x:f>IF(C21=0,"",SUMIFS('Исходные данные'!$D$3:$D$62,'Исходные данные'!$F$3:$F$62,A21,'Исходные данные'!$G$3:$G$62,B21)/C21)</x:f>
        <x:v>2.38</x:v>
      </x:c>
      <x:c r="F21" s="2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</x:sheetData>
  <x:mergeCells>
    <x:mergeCell ref="A1:F1"/>
    <x:mergeCell ref="A22:F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149999618530273"/>
  <x:cols>
    <x:col min="1" max="1" width="23" customWidth="1"/>
    <x:col min="2" max="3" width="44" customWidth="1"/>
  </x:cols>
  <x:sheetData>
    <x:row r="1" ht="16" customHeight="1">
      <x:c r="A1" s="6" t="s">
        <x:v>251</x:v>
      </x:c>
      <x:c r="B1" s="6"/>
      <x:c r="C1" s="6"/>
    </x:row>
    <x:row r="2">
      <x:c r="A2" s="2"/>
      <x:c r="B2" s="2"/>
      <x:c r="C2" s="2"/>
    </x:row>
    <x:row r="3">
      <x:c r="A3" s="1" t="s">
        <x:v>252</x:v>
      </x:c>
      <x:c r="B3" s="1" t="s">
        <x:v>253</x:v>
      </x:c>
      <x:c r="C3" s="1" t="s">
        <x:v>254</x:v>
      </x:c>
    </x:row>
    <x:row r="4">
      <x:c r="A4" s="2" t="s">
        <x:v>255</x:v>
      </x:c>
      <x:c r="B4" s="2" t="s">
        <x:v>256</x:v>
      </x:c>
      <x:c r="C4" s="2" t="s">
        <x:v>257</x:v>
      </x:c>
    </x:row>
    <x:row r="5">
      <x:c r="A5" s="2" t="s">
        <x:v>258</x:v>
      </x:c>
      <x:c r="B5" s="2" t="s">
        <x:v>259</x:v>
      </x:c>
      <x:c r="C5" s="2" t="s">
        <x:v>260</x:v>
      </x:c>
    </x:row>
    <x:row r="6" ht="28.299999237060547">
      <x:c r="A6" s="2" t="s">
        <x:v>261</x:v>
      </x:c>
      <x:c r="B6" s="2" t="s">
        <x:v>262</x:v>
      </x:c>
      <x:c r="C6" s="2" t="s">
        <x:v>263</x:v>
      </x:c>
    </x:row>
    <x:row r="7">
      <x:c r="A7" s="2" t="s">
        <x:v>264</x:v>
      </x:c>
      <x:c r="B7" s="2" t="s">
        <x:v>265</x:v>
      </x:c>
      <x:c r="C7" s="2" t="s">
        <x:v>266</x:v>
      </x:c>
    </x:row>
    <x:row r="8">
      <x:c r="A8" s="2" t="s">
        <x:v>267</x:v>
      </x:c>
      <x:c r="B8" s="2" t="s">
        <x:v>268</x:v>
      </x:c>
      <x:c r="C8" s="2" t="s">
        <x:v>269</x:v>
      </x:c>
    </x:row>
    <x:row r="9">
      <x:c r="A9" s="2" t="s">
        <x:v>270</x:v>
      </x:c>
      <x:c r="B9" s="2" t="s">
        <x:v>271</x:v>
      </x:c>
      <x:c r="C9" s="2" t="s">
        <x:v>272</x:v>
      </x:c>
    </x:row>
    <x:row r="10">
      <x:c r="A10" s="2" t="s">
        <x:v>273</x:v>
      </x:c>
      <x:c r="B10" s="2" t="s">
        <x:v>274</x:v>
      </x:c>
      <x:c r="C10" s="2" t="s">
        <x:v>275</x:v>
      </x:c>
    </x:row>
    <x:row r="11">
      <x:c r="A11" s="2" t="s">
        <x:v>276</x:v>
      </x:c>
      <x:c r="B11" s="2" t="s">
        <x:v>277</x:v>
      </x:c>
      <x:c r="C11" s="2" t="s">
        <x:v>278</x:v>
      </x:c>
    </x:row>
    <x:row r="12">
      <x:c r="A12" s="2" t="s">
        <x:v>279</x:v>
      </x:c>
      <x:c r="B12" s="2" t="s">
        <x:v>280</x:v>
      </x:c>
      <x:c r="C12" s="2" t="s">
        <x:v>281</x:v>
      </x:c>
    </x:row>
    <x:row r="13">
      <x:c r="A13" s="2" t="s">
        <x:v>282</x:v>
      </x:c>
      <x:c r="B13" s="2" t="s">
        <x:v>283</x:v>
      </x:c>
      <x:c r="C13" s="2" t="s">
        <x:v>284</x:v>
      </x:c>
    </x:row>
    <x:row r="14">
      <x:c r="A14" s="2"/>
      <x:c r="B14" s="2"/>
      <x:c r="C14" s="2"/>
    </x:row>
    <x:row r="15">
      <x:c r="A15" s="8" t="s">
        <x:v>285</x:v>
      </x:c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</x:sheetData>
  <x:mergeCells>
    <x:mergeCell ref="A1:C1"/>
    <x:mergeCell ref="A15:C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149999618530273"/>
  <x:cols>
    <x:col min="1" max="1" width="99.5" customWidth="1"/>
    <x:col min="2" max="2" width="13.7109375" customWidth="1"/>
    <x:col min="3" max="3" width="62.640625" customWidth="1"/>
    <x:col min="4" max="4" width="21.640625" customWidth="1"/>
    <x:col min="5" max="5" width="26.35546875" customWidth="1"/>
    <x:col min="6" max="6" width="34.5" customWidth="1"/>
  </x:cols>
  <x:sheetData>
    <x:row r="1" ht="16" customHeight="1">
      <x:c r="A1" s="6" t="s">
        <x:v>286</x:v>
      </x:c>
      <x:c r="B1" s="6"/>
      <x:c r="C1" s="6"/>
      <x:c r="D1" s="6"/>
      <x:c r="E1" s="6"/>
      <x:c r="F1" s="6"/>
    </x:row>
    <x:row r="3">
      <x:c r="A3" s="1" t="s">
        <x:v>287</x:v>
      </x:c>
      <x:c r="B3" s="1" t="s">
        <x:v>288</x:v>
      </x:c>
      <x:c r="C3" s="1" t="s">
        <x:v>289</x:v>
      </x:c>
      <x:c r="D3" s="1" t="s">
        <x:v>290</x:v>
      </x:c>
      <x:c r="E3" s="1" t="s">
        <x:v>291</x:v>
      </x:c>
      <x:c r="F3" s="1" t="s">
        <x:v>292</x:v>
      </x:c>
    </x:row>
    <x:row r="4" ht="28.299999237060547">
      <x:c r="A4" s="2" t="s">
        <x:v>293</x:v>
      </x:c>
      <x:c r="B4" s="2" t="s">
        <x:v>294</x:v>
      </x:c>
      <x:c r="C4" s="2" t="s">
        <x:v>295</x:v>
      </x:c>
      <x:c r="D4" s="2" t="s">
        <x:v>296</x:v>
      </x:c>
      <x:c r="E4" s="2" t="s">
        <x:v>297</x:v>
      </x:c>
      <x:c r="F4" s="2" t="s">
        <x:v>298</x:v>
      </x:c>
    </x:row>
    <x:row r="5" ht="28.299999237060547">
      <x:c r="A5" s="2" t="s">
        <x:v>299</x:v>
      </x:c>
      <x:c r="B5" s="2" t="s">
        <x:v>300</x:v>
      </x:c>
      <x:c r="C5" s="2" t="s">
        <x:v>301</x:v>
      </x:c>
      <x:c r="D5" s="2" t="s">
        <x:v>302</x:v>
      </x:c>
      <x:c r="E5" s="2" t="s">
        <x:v>303</x:v>
      </x:c>
      <x:c r="F5" s="2" t="s">
        <x:v>304</x:v>
      </x:c>
    </x:row>
    <x:row r="6">
      <x:c r="A6" s="2" t="s">
        <x:v>305</x:v>
      </x:c>
      <x:c r="B6" s="2" t="s">
        <x:v>306</x:v>
      </x:c>
      <x:c r="C6" s="2" t="s">
        <x:v>307</x:v>
      </x:c>
      <x:c r="D6" s="2" t="s">
        <x:v>308</x:v>
      </x:c>
      <x:c r="E6" s="2" t="s">
        <x:v>309</x:v>
      </x:c>
      <x:c r="F6" s="2" t="s">
        <x:v>310</x:v>
      </x:c>
    </x:row>
    <x:row r="7" ht="28.299999237060547">
      <x:c r="A7" s="2" t="s">
        <x:v>311</x:v>
      </x:c>
      <x:c r="B7" s="2" t="s">
        <x:v>312</x:v>
      </x:c>
      <x:c r="C7" s="2" t="s">
        <x:v>313</x:v>
      </x:c>
      <x:c r="D7" s="2" t="s">
        <x:v>314</x:v>
      </x:c>
      <x:c r="E7" s="2" t="s">
        <x:v>315</x:v>
      </x:c>
      <x:c r="F7" s="2" t="s">
        <x:v>316</x:v>
      </x:c>
    </x:row>
    <x:row r="8" ht="28.299999237060547">
      <x:c r="A8" s="2" t="s">
        <x:v>317</x:v>
      </x:c>
      <x:c r="B8" s="2" t="s">
        <x:v>318</x:v>
      </x:c>
      <x:c r="C8" s="2" t="s">
        <x:v>319</x:v>
      </x:c>
      <x:c r="D8" s="2" t="s">
        <x:v>297</x:v>
      </x:c>
      <x:c r="E8" s="2" t="s">
        <x:v>320</x:v>
      </x:c>
      <x:c r="F8" s="2" t="s">
        <x:v>321</x:v>
      </x:c>
    </x:row>
    <x:row r="9">
      <x:c r="A9" s="2" t="s">
        <x:v>322</x:v>
      </x:c>
      <x:c r="B9" s="2" t="s">
        <x:v>323</x:v>
      </x:c>
      <x:c r="C9" s="2" t="s">
        <x:v>324</x:v>
      </x:c>
      <x:c r="D9" s="2" t="s">
        <x:v>325</x:v>
      </x:c>
      <x:c r="E9" s="2" t="s">
        <x:v>326</x:v>
      </x:c>
      <x:c r="F9" s="2" t="s">
        <x:v>327</x:v>
      </x:c>
    </x:row>
    <x:row r="10" ht="28.299999237060547">
      <x:c r="A10" s="2" t="s">
        <x:v>328</x:v>
      </x:c>
      <x:c r="B10" s="2" t="s">
        <x:v>329</x:v>
      </x:c>
      <x:c r="C10" s="2" t="s">
        <x:v>330</x:v>
      </x:c>
      <x:c r="D10" s="2" t="s">
        <x:v>331</x:v>
      </x:c>
      <x:c r="E10" s="2" t="s">
        <x:v>332</x:v>
      </x:c>
      <x:c r="F10" s="2" t="s">
        <x:v>333</x:v>
      </x:c>
    </x:row>
    <x:row r="11" ht="28.299999237060547">
      <x:c r="A11" s="2" t="s">
        <x:v>334</x:v>
      </x:c>
      <x:c r="B11" s="2" t="s">
        <x:v>335</x:v>
      </x:c>
      <x:c r="C11" s="2" t="s">
        <x:v>336</x:v>
      </x:c>
      <x:c r="D11" s="2" t="s">
        <x:v>198</x:v>
      </x:c>
      <x:c r="E11" s="2" t="s">
        <x:v>337</x:v>
      </x:c>
      <x:c r="F11" s="2" t="s">
        <x:v>338</x:v>
      </x:c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10" t="s">
        <x:v>339</x:v>
      </x:c>
      <x:c r="B14" s="10"/>
      <x:c r="C14" s="10"/>
      <x:c r="D14" s="10"/>
      <x:c r="E14" s="10"/>
      <x:c r="F14" s="10"/>
    </x:row>
    <x:row r="15" ht="17.600000381469727">
      <x:c r="A15" s="11" t="s">
        <x:v>340</x:v>
      </x:c>
      <x:c r="B15" s="11"/>
      <x:c r="C15" s="11"/>
      <x:c r="D15" s="11"/>
      <x:c r="E15" s="11"/>
      <x:c r="F15" s="11"/>
    </x:row>
    <x:row r="16" ht="16" customHeight="1">
      <x:c r="A16" s="12" t="s">
        <x:v>341</x:v>
      </x:c>
      <x:c r="B16" s="12"/>
      <x:c r="C16" s="12"/>
      <x:c r="D16" s="12"/>
      <x:c r="E16" s="12"/>
      <x:c r="F16" s="12"/>
    </x:row>
    <x:row r="17" ht="17.600000381469727">
      <x:c r="A17" s="11" t="s">
        <x:v>340</x:v>
      </x:c>
      <x:c r="B17" s="11"/>
      <x:c r="C17" s="11"/>
      <x:c r="D17" s="11"/>
      <x:c r="E17" s="11"/>
      <x:c r="F17" s="11"/>
    </x:row>
    <x:row r="18" ht="16" customHeight="1">
      <x:c r="A18" s="12" t="s">
        <x:v>342</x:v>
      </x:c>
      <x:c r="B18" s="12"/>
      <x:c r="C18" s="12"/>
      <x:c r="D18" s="12"/>
      <x:c r="E18" s="12"/>
      <x:c r="F18" s="12"/>
    </x:row>
    <x:row r="19" ht="17.600000381469727">
      <x:c r="A19" s="11" t="s">
        <x:v>340</x:v>
      </x:c>
      <x:c r="B19" s="11"/>
      <x:c r="C19" s="11"/>
      <x:c r="D19" s="11"/>
      <x:c r="E19" s="11"/>
      <x:c r="F19" s="11"/>
    </x:row>
    <x:row r="20" ht="16" customHeight="1">
      <x:c r="A20" s="12" t="s">
        <x:v>343</x:v>
      </x:c>
      <x:c r="B20" s="12"/>
      <x:c r="C20" s="12"/>
      <x:c r="D20" s="12"/>
      <x:c r="E20" s="12"/>
      <x:c r="F20" s="12"/>
    </x:row>
    <x:row r="21" ht="17.600000381469727">
      <x:c r="A21" s="11" t="s">
        <x:v>340</x:v>
      </x:c>
      <x:c r="B21" s="11"/>
      <x:c r="C21" s="11"/>
      <x:c r="D21" s="11"/>
      <x:c r="E21" s="11"/>
      <x:c r="F21" s="11"/>
    </x:row>
    <x:row r="22" ht="16" customHeight="1">
      <x:c r="A22" s="12" t="s">
        <x:v>344</x:v>
      </x:c>
      <x:c r="B22" s="12"/>
      <x:c r="C22" s="12"/>
      <x:c r="D22" s="12"/>
      <x:c r="E22" s="12"/>
      <x:c r="F22" s="12"/>
    </x:row>
    <x:row r="23" ht="17.600000381469727">
      <x:c r="A23" s="11" t="s">
        <x:v>340</x:v>
      </x:c>
      <x:c r="B23" s="11"/>
      <x:c r="C23" s="11"/>
      <x:c r="D23" s="11"/>
      <x:c r="E23" s="11"/>
      <x:c r="F23" s="11"/>
    </x:row>
    <x:row r="24" ht="16" customHeight="1">
      <x:c r="A24" s="12" t="s">
        <x:v>345</x:v>
      </x:c>
      <x:c r="B24" s="12"/>
      <x:c r="C24" s="12"/>
      <x:c r="D24" s="12"/>
      <x:c r="E24" s="12"/>
      <x:c r="F24" s="12"/>
    </x:row>
    <x:row r="25" ht="17.600000381469727">
      <x:c r="A25" s="11" t="s">
        <x:v>340</x:v>
      </x:c>
      <x:c r="B25" s="11"/>
      <x:c r="C25" s="11"/>
      <x:c r="D25" s="11"/>
      <x:c r="E25" s="11"/>
      <x:c r="F25" s="11"/>
    </x:row>
    <x:row r="26" ht="16" customHeight="1">
      <x:c r="A26" s="12" t="s">
        <x:v>346</x:v>
      </x:c>
      <x:c r="B26" s="12"/>
      <x:c r="C26" s="12"/>
      <x:c r="D26" s="12"/>
      <x:c r="E26" s="12"/>
      <x:c r="F26" s="12"/>
    </x:row>
    <x:row r="27" ht="17.600000381469727">
      <x:c r="A27" s="11" t="s">
        <x:v>340</x:v>
      </x:c>
      <x:c r="B27" s="11"/>
      <x:c r="C27" s="11"/>
      <x:c r="D27" s="11"/>
      <x:c r="E27" s="11"/>
      <x:c r="F27" s="11"/>
    </x:row>
    <x:row r="28" ht="16" customHeight="1">
      <x:c r="A28" s="12" t="s">
        <x:v>347</x:v>
      </x:c>
      <x:c r="B28" s="12"/>
      <x:c r="C28" s="12"/>
      <x:c r="D28" s="12"/>
      <x:c r="E28" s="12"/>
      <x:c r="F28" s="12"/>
    </x:row>
  </x:sheetData>
  <x:mergeCells>
    <x:mergeCell ref="A28:F28"/>
    <x:mergeCell ref="A21:F21"/>
    <x:mergeCell ref="A23:F23"/>
    <x:mergeCell ref="A25:F25"/>
    <x:mergeCell ref="A27:F27"/>
    <x:mergeCell ref="A16:F16"/>
    <x:mergeCell ref="A18:F18"/>
    <x:mergeCell ref="A20:F20"/>
    <x:mergeCell ref="A22:F22"/>
    <x:mergeCell ref="A24:F24"/>
    <x:mergeCell ref="A26:F26"/>
    <x:mergeCell ref="A1:F1"/>
    <x:mergeCell ref="A14:F14"/>
    <x:mergeCell ref="A15:F15"/>
    <x:mergeCell ref="A17:F17"/>
    <x:mergeCell ref="A19:F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149999618530273"/>
  <x:cols>
    <x:col min="1" max="6" width="20" customWidth="1"/>
  </x:cols>
  <x:sheetData>
    <x:row r="1" ht="16" customHeight="1">
      <x:c r="A1" s="9" t="s">
        <x:v>348</x:v>
      </x:c>
      <x:c r="B1" s="9"/>
      <x:c r="C1" s="9"/>
      <x:c r="D1" s="9"/>
      <x:c r="E1" s="9"/>
      <x:c r="F1" s="9"/>
    </x:row>
    <x:row r="3" ht="12.550000190734863" customHeight="1">
      <x:c r="A3" s="13" t="s">
        <x:v>349</x:v>
      </x:c>
      <x:c r="B3" s="13"/>
      <x:c r="C3" s="13"/>
      <x:c r="D3" s="13"/>
      <x:c r="E3" s="13"/>
      <x:c r="F3" s="13"/>
    </x:row>
    <x:row r="4" ht="12.550000190734863" customHeight="1">
      <x:c r="A4" s="13"/>
      <x:c r="B4" s="13"/>
      <x:c r="C4" s="13"/>
      <x:c r="D4" s="13"/>
      <x:c r="E4" s="13"/>
      <x:c r="F4" s="13"/>
    </x:row>
    <x:row r="5" ht="12.550000190734863" customHeight="1">
      <x:c r="A5" s="13"/>
      <x:c r="B5" s="13"/>
      <x:c r="C5" s="13"/>
      <x:c r="D5" s="13"/>
      <x:c r="E5" s="13"/>
      <x:c r="F5" s="13"/>
    </x:row>
    <x:row r="6" ht="12.550000190734863" customHeight="1">
      <x:c r="A6" s="13"/>
      <x:c r="B6" s="13"/>
      <x:c r="C6" s="13"/>
      <x:c r="D6" s="13"/>
      <x:c r="E6" s="13"/>
      <x:c r="F6" s="13"/>
    </x:row>
    <x:row r="7" ht="12.550000190734863" customHeight="1">
      <x:c r="A7" s="13"/>
      <x:c r="B7" s="13"/>
      <x:c r="C7" s="13"/>
      <x:c r="D7" s="13"/>
      <x:c r="E7" s="13"/>
      <x:c r="F7" s="13"/>
    </x:row>
    <x:row r="8" ht="12.550000190734863" customHeight="1">
      <x:c r="A8" s="13"/>
      <x:c r="B8" s="13"/>
      <x:c r="C8" s="13"/>
      <x:c r="D8" s="13"/>
      <x:c r="E8" s="13"/>
      <x:c r="F8" s="13"/>
    </x:row>
    <x:row r="9" ht="12.550000190734863" customHeight="1">
      <x:c r="A9" s="13"/>
      <x:c r="B9" s="13"/>
      <x:c r="C9" s="13"/>
      <x:c r="D9" s="13"/>
      <x:c r="E9" s="13"/>
      <x:c r="F9" s="13"/>
    </x:row>
    <x:row r="10" ht="12.550000190734863" customHeight="1">
      <x:c r="A10" s="13"/>
      <x:c r="B10" s="13"/>
      <x:c r="C10" s="13"/>
      <x:c r="D10" s="13"/>
      <x:c r="E10" s="13"/>
      <x:c r="F10" s="13"/>
    </x:row>
    <x:row r="11" ht="12.550000190734863" customHeight="1">
      <x:c r="A11" s="13"/>
      <x:c r="B11" s="13"/>
      <x:c r="C11" s="13"/>
      <x:c r="D11" s="13"/>
      <x:c r="E11" s="13"/>
      <x:c r="F11" s="13"/>
    </x:row>
    <x:row r="12" ht="12.550000190734863" customHeight="1">
      <x:c r="A12" s="13"/>
      <x:c r="B12" s="13"/>
      <x:c r="C12" s="13"/>
      <x:c r="D12" s="13"/>
      <x:c r="E12" s="13"/>
      <x:c r="F12" s="13"/>
    </x:row>
  </x:sheetData>
  <x:mergeCells>
    <x:mergeCell ref="A1:F1"/>
    <x:mergeCell ref="A3:F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2">
      <x:c r="A2" s="14" t="str">
        <x:v>Сводная таблица 1. Распределение по категориям риска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Количество объектов, доля и средние показатели по каждой категории риска.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4" hidden="0" customHeight="1">
      <x:c r="A5" s="24" t="str">
        <x:v>Категория риска</x:v>
      </x:c>
      <x:c r="B5" s="24" t="str">
        <x:v>Количество объектов</x:v>
      </x:c>
      <x:c r="C5" s="24" t="str">
        <x:v>Доля</x:v>
      </x:c>
      <x:c r="D5" s="24" t="str">
        <x:v>Средняя вибрация, мм/с</x:v>
      </x:c>
      <x:c r="E5" s="24" t="str">
        <x:v>Средний индекс износа, %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Высокая</x:v>
      </x:c>
      <x:c r="B6" s="28" t="n">
        <x:f>COUNTIFS('Исходные данные'!$G$3:$G$62,A6)</x:f>
        <x:v>16</x:v>
      </x:c>
      <x:c r="C6" s="31" t="n">
        <x:f>B6/COUNTA('Исходные данные'!$A$3:$A$62)</x:f>
        <x:v>0.26666666666666666</x:v>
      </x:c>
      <x:c r="D6" s="34" t="n">
        <x:f>AVERAGEIFS('Исходные данные'!$D$3:$D$62,'Исходные данные'!$G$3:$G$62,A6)</x:f>
        <x:v>5.504999999999999</x:v>
      </x:c>
      <x:c r="E6" s="34" t="n">
        <x:f>AVERAGEIFS('Исходные данные'!$E$3:$E$62,'Исходные данные'!$G$3:$G$62,A6)</x:f>
        <x:v>65.43125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Средняя</x:v>
      </x:c>
      <x:c r="B7" s="29" t="n">
        <x:f>COUNTIFS('Исходные данные'!$G$3:$G$62,A7)</x:f>
        <x:v>40</x:v>
      </x:c>
      <x:c r="C7" s="32" t="n">
        <x:f>B7/COUNTA('Исходные данные'!$A$3:$A$62)</x:f>
        <x:v>0.6666666666666666</x:v>
      </x:c>
      <x:c r="D7" s="35" t="n">
        <x:f>AVERAGEIFS('Исходные данные'!$D$3:$D$62,'Исходные данные'!$G$3:$G$62,A7)</x:f>
        <x:v>3.5654999999999992</x:v>
      </x:c>
      <x:c r="E7" s="35" t="n">
        <x:f>AVERAGEIFS('Исходные данные'!$E$3:$E$62,'Исходные данные'!$G$3:$G$62,A7)</x:f>
        <x:v>45.73500000000001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Низкая</x:v>
      </x:c>
      <x:c r="B8" s="28" t="n">
        <x:f>COUNTIFS('Исходные данные'!$G$3:$G$62,A8)</x:f>
        <x:v>4</x:v>
      </x:c>
      <x:c r="C8" s="31" t="n">
        <x:f>B8/COUNTA('Исходные данные'!$A$3:$A$62)</x:f>
        <x:v>0.06666666666666667</x:v>
      </x:c>
      <x:c r="D8" s="34" t="n">
        <x:f>AVERAGEIFS('Исходные данные'!$D$3:$D$62,'Исходные данные'!$G$3:$G$62,A8)</x:f>
        <x:v>2.3225</x:v>
      </x:c>
      <x:c r="E8" s="34" t="n">
        <x:f>AVERAGEIFS('Исходные данные'!$E$3:$E$62,'Исходные данные'!$G$3:$G$62,A8)</x:f>
        <x:v>35.775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6" t="str">
        <x:v>Итого</x:v>
      </x:c>
      <x:c r="B9" s="30" t="n">
        <x:f>SUM(B6:B8)</x:f>
        <x:v>60</x:v>
      </x:c>
      <x:c r="C9" s="33" t="n">
        <x:f>SUM(C6:C8)</x:f>
        <x:v>1</x:v>
      </x:c>
      <x:c r="D9" s="36" t="n">
        <x:f>AVERAGE('Исходные данные'!$D$3:$D$62)</x:f>
        <x:v>3.999833333333333</x:v>
      </x:c>
      <x:c r="E9" s="36" t="n">
        <x:f>AVERAGE('Исходные данные'!$E$3:$E$62)</x:f>
        <x:v>50.323333333333316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  <x:drawing xmlns:r="http://schemas.openxmlformats.org/officeDocument/2006/relationships" r:id="R8a44735e2488438f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4" t="str">
        <x:v>Сводная таблица 2. Показатели по районам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Сопоставление количества объектов, средних показателей и высокого риска по районам.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4" hidden="0" customHeight="1">
      <x:c r="A5" s="24" t="str">
        <x:v>Район</x:v>
      </x:c>
      <x:c r="B5" s="24" t="str">
        <x:v>Количество объектов</x:v>
      </x:c>
      <x:c r="C5" s="24" t="str">
        <x:v>Средняя вибрация, мм/с</x:v>
      </x:c>
      <x:c r="D5" s="24" t="str">
        <x:v>Средний индекс износа, %</x:v>
      </x:c>
      <x:c r="E5" s="24" t="str">
        <x:v>Высокий риск, объектов</x:v>
      </x:c>
      <x:c r="F5" s="24" t="str">
        <x:v>Доля высокого риска</x:v>
      </x:c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Восточный</x:v>
      </x:c>
      <x:c r="B6" s="28" t="n">
        <x:f>COUNTIFS('Исходные данные'!$B$3:$B$62,A6)</x:f>
        <x:v>15</x:v>
      </x:c>
      <x:c r="C6" s="34" t="n">
        <x:f>AVERAGEIFS('Исходные данные'!$D$3:$D$62,'Исходные данные'!$B$3:$B$62,A6)</x:f>
        <x:v>4.196000000000001</x:v>
      </x:c>
      <x:c r="D6" s="34" t="n">
        <x:f>AVERAGEIFS('Исходные данные'!$E$3:$E$62,'Исходные данные'!$B$3:$B$62,A6)</x:f>
        <x:v>52.866666666666674</x:v>
      </x:c>
      <x:c r="E6" s="28" t="n">
        <x:f>COUNTIFS('Исходные данные'!$B$3:$B$62,A6,'Исходные данные'!$G$3:$G$62,"Высокая")</x:f>
        <x:v>4</x:v>
      </x:c>
      <x:c r="F6" s="31" t="n">
        <x:f>IF(B6=0,"",E6/B6)</x:f>
        <x:v>0.26666666666666666</x:v>
      </x:c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Западный</x:v>
      </x:c>
      <x:c r="B7" s="29" t="n">
        <x:f>COUNTIFS('Исходные данные'!$B$3:$B$62,A7)</x:f>
        <x:v>8</x:v>
      </x:c>
      <x:c r="C7" s="35" t="n">
        <x:f>AVERAGEIFS('Исходные данные'!$D$3:$D$62,'Исходные данные'!$B$3:$B$62,A7)</x:f>
        <x:v>3.8062499999999995</x:v>
      </x:c>
      <x:c r="D7" s="35" t="n">
        <x:f>AVERAGEIFS('Исходные данные'!$E$3:$E$62,'Исходные данные'!$B$3:$B$62,A7)</x:f>
        <x:v>50.99999999999999</x:v>
      </x:c>
      <x:c r="E7" s="29" t="n">
        <x:f>COUNTIFS('Исходные данные'!$B$3:$B$62,A7,'Исходные данные'!$G$3:$G$62,"Высокая")</x:f>
        <x:v>2</x:v>
      </x:c>
      <x:c r="F7" s="32" t="n">
        <x:f>IF(B7=0,"",E7/B7)</x:f>
        <x:v>0.25</x:v>
      </x:c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Промышленный</x:v>
      </x:c>
      <x:c r="B8" s="28" t="n">
        <x:f>COUNTIFS('Исходные данные'!$B$3:$B$62,A8)</x:f>
        <x:v>8</x:v>
      </x:c>
      <x:c r="C8" s="34" t="n">
        <x:f>AVERAGEIFS('Исходные данные'!$D$3:$D$62,'Исходные данные'!$B$3:$B$62,A8)</x:f>
        <x:v>4.331250000000001</x:v>
      </x:c>
      <x:c r="D8" s="34" t="n">
        <x:f>AVERAGEIFS('Исходные данные'!$E$3:$E$62,'Исходные данные'!$B$3:$B$62,A8)</x:f>
        <x:v>51.425000000000004</x:v>
      </x:c>
      <x:c r="E8" s="28" t="n">
        <x:f>COUNTIFS('Исходные данные'!$B$3:$B$62,A8,'Исходные данные'!$G$3:$G$62,"Высокая")</x:f>
        <x:v>4</x:v>
      </x:c>
      <x:c r="F8" s="31" t="n">
        <x:f>IF(B8=0,"",E8/B8)</x:f>
        <x:v>0.5</x:v>
      </x:c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Северный</x:v>
      </x:c>
      <x:c r="B9" s="29" t="n">
        <x:f>COUNTIFS('Исходные данные'!$B$3:$B$62,A9)</x:f>
        <x:v>7</x:v>
      </x:c>
      <x:c r="C9" s="35" t="n">
        <x:f>AVERAGEIFS('Исходные данные'!$D$3:$D$62,'Исходные данные'!$B$3:$B$62,A9)</x:f>
        <x:v>3.6685714285714286</x:v>
      </x:c>
      <x:c r="D9" s="35" t="n">
        <x:f>AVERAGEIFS('Исходные данные'!$E$3:$E$62,'Исходные данные'!$B$3:$B$62,A9)</x:f>
        <x:v>41.9</x:v>
      </x:c>
      <x:c r="E9" s="29" t="n">
        <x:f>COUNTIFS('Исходные данные'!$B$3:$B$62,A9,'Исходные данные'!$G$3:$G$62,"Высокая")</x:f>
        <x:v>1</x:v>
      </x:c>
      <x:c r="F9" s="32" t="n">
        <x:f>IF(B9=0,"",E9/B9)</x:f>
        <x:v>0.14285714285714285</x:v>
      </x:c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Центральный</x:v>
      </x:c>
      <x:c r="B10" s="28" t="n">
        <x:f>COUNTIFS('Исходные данные'!$B$3:$B$62,A10)</x:f>
        <x:v>15</x:v>
      </x:c>
      <x:c r="C10" s="34" t="n">
        <x:f>AVERAGEIFS('Исходные данные'!$D$3:$D$62,'Исходные данные'!$B$3:$B$62,A10)</x:f>
        <x:v>3.900666666666666</x:v>
      </x:c>
      <x:c r="D10" s="34" t="n">
        <x:f>AVERAGEIFS('Исходные данные'!$E$3:$E$62,'Исходные данные'!$B$3:$B$62,A10)</x:f>
        <x:v>48.620000000000005</x:v>
      </x:c>
      <x:c r="E10" s="28" t="n">
        <x:f>COUNTIFS('Исходные данные'!$B$3:$B$62,A10,'Исходные данные'!$G$3:$G$62,"Высокая")</x:f>
        <x:v>4</x:v>
      </x:c>
      <x:c r="F10" s="31" t="n">
        <x:f>IF(B10=0,"",E10/B10)</x:f>
        <x:v>0.26666666666666666</x:v>
      </x:c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Южный</x:v>
      </x:c>
      <x:c r="B11" s="29" t="n">
        <x:f>COUNTIFS('Исходные данные'!$B$3:$B$62,A11)</x:f>
        <x:v>7</x:v>
      </x:c>
      <x:c r="C11" s="35" t="n">
        <x:f>AVERAGEIFS('Исходные данные'!$D$3:$D$62,'Исходные данные'!$B$3:$B$62,A11)</x:f>
        <x:v>3.9657142857142857</x:v>
      </x:c>
      <x:c r="D11" s="35" t="n">
        <x:f>AVERAGEIFS('Исходные данные'!$E$3:$E$62,'Исходные данные'!$B$3:$B$62,A11)</x:f>
        <x:v>54.91428571428572</x:v>
      </x:c>
      <x:c r="E11" s="29" t="n">
        <x:f>COUNTIFS('Исходные данные'!$B$3:$B$62,A11,'Исходные данные'!$G$3:$G$62,"Высокая")</x:f>
        <x:v>1</x:v>
      </x:c>
      <x:c r="F11" s="32" t="n">
        <x:f>IF(B11=0,"",E11/B11)</x:f>
        <x:v>0.14285714285714285</x:v>
      </x:c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60</x:v>
      </x:c>
      <x:c r="C12" s="36" t="n">
        <x:f>AVERAGE('Исходные данные'!$D$3:$D$62)</x:f>
        <x:v>3.999833333333333</x:v>
      </x:c>
      <x:c r="D12" s="36" t="n">
        <x:f>AVERAGE('Исходные данные'!$E$3:$E$62)</x:f>
        <x:v>50.323333333333316</x:v>
      </x:c>
      <x:c r="E12" s="30" t="n">
        <x:f>SUM(E6:E11)</x:f>
        <x:v>16</x:v>
      </x:c>
      <x:c r="F12" s="33" t="n">
        <x:f>E12/B12</x:f>
        <x:v>0.26666666666666666</x:v>
      </x:c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  <x:drawing xmlns:r="http://schemas.openxmlformats.org/officeDocument/2006/relationships" r:id="Rb48305a5365249ed"/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4" t="str">
        <x:v>Сводная таблица 3. Показатели по типам конструкций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Сравнение типов конструкций по числу объектов, вибрации, износу и доле высокого риска.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4" hidden="0" customHeight="1">
      <x:c r="A5" s="24" t="str">
        <x:v>Тип конструкции</x:v>
      </x:c>
      <x:c r="B5" s="24" t="str">
        <x:v>Количество объектов</x:v>
      </x:c>
      <x:c r="C5" s="24" t="str">
        <x:v>Средняя вибрация, мм/с</x:v>
      </x:c>
      <x:c r="D5" s="24" t="str">
        <x:v>Средний индекс износа, %</x:v>
      </x:c>
      <x:c r="E5" s="24" t="str">
        <x:v>Высокий риск, объектов</x:v>
      </x:c>
      <x:c r="F5" s="24" t="str">
        <x:v>Доля высокого риска</x:v>
      </x:c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Арочный стальной</x:v>
      </x:c>
      <x:c r="B6" s="28" t="n">
        <x:f>COUNTIFS('Исходные данные'!$C$3:$C$62,A6)</x:f>
        <x:v>10</x:v>
      </x:c>
      <x:c r="C6" s="34" t="n">
        <x:f>AVERAGEIFS('Исходные данные'!$D$3:$D$62,'Исходные данные'!$C$3:$C$62,A6)</x:f>
        <x:v>4.662000000000001</x:v>
      </x:c>
      <x:c r="D6" s="34" t="n">
        <x:f>AVERAGEIFS('Исходные данные'!$E$3:$E$62,'Исходные данные'!$C$3:$C$62,A6)</x:f>
        <x:v>57.21</x:v>
      </x:c>
      <x:c r="E6" s="28" t="n">
        <x:f>COUNTIFS('Исходные данные'!$C$3:$C$62,A6,'Исходные данные'!$G$3:$G$62,"Высокая")</x:f>
        <x:v>4</x:v>
      </x:c>
      <x:c r="F6" s="31" t="n">
        <x:f>IF(B6=0,"",E6/B6)</x:f>
        <x:v>0.4</x:v>
      </x:c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Вантовый</x:v>
      </x:c>
      <x:c r="B7" s="29" t="n">
        <x:f>COUNTIFS('Исходные данные'!$C$3:$C$62,A7)</x:f>
        <x:v>10</x:v>
      </x:c>
      <x:c r="C7" s="35" t="n">
        <x:f>AVERAGEIFS('Исходные данные'!$D$3:$D$62,'Исходные данные'!$C$3:$C$62,A7)</x:f>
        <x:v>5.185</x:v>
      </x:c>
      <x:c r="D7" s="35" t="n">
        <x:f>AVERAGEIFS('Исходные данные'!$E$3:$E$62,'Исходные данные'!$C$3:$C$62,A7)</x:f>
        <x:v>62.260000000000005</x:v>
      </x:c>
      <x:c r="E7" s="29" t="n">
        <x:f>COUNTIFS('Исходные данные'!$C$3:$C$62,A7,'Исходные данные'!$G$3:$G$62,"Высокая")</x:f>
        <x:v>7</x:v>
      </x:c>
      <x:c r="F7" s="32" t="n">
        <x:f>IF(B7=0,"",E7/B7)</x:f>
        <x:v>0.7</x:v>
      </x:c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Железобетонный балочный</x:v>
      </x:c>
      <x:c r="B8" s="28" t="n">
        <x:f>COUNTIFS('Исходные данные'!$C$3:$C$62,A8)</x:f>
        <x:v>10</x:v>
      </x:c>
      <x:c r="C8" s="34" t="n">
        <x:f>AVERAGEIFS('Исходные данные'!$D$3:$D$62,'Исходные данные'!$C$3:$C$62,A8)</x:f>
        <x:v>2.828</x:v>
      </x:c>
      <x:c r="D8" s="34" t="n">
        <x:f>AVERAGEIFS('Исходные данные'!$E$3:$E$62,'Исходные данные'!$C$3:$C$62,A8)</x:f>
        <x:v>38.53</x:v>
      </x:c>
      <x:c r="E8" s="28" t="n">
        <x:f>COUNTIFS('Исходные данные'!$C$3:$C$62,A8,'Исходные данные'!$G$3:$G$62,"Высокая")</x:f>
        <x:v>0</x:v>
      </x:c>
      <x:c r="F8" s="31" t="n">
        <x:f>IF(B8=0,"",E8/B8)</x:f>
        <x:v>0</x:v>
      </x:c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Коробчатый железобетонный</x:v>
      </x:c>
      <x:c r="B9" s="29" t="n">
        <x:f>COUNTIFS('Исходные данные'!$C$3:$C$62,A9)</x:f>
        <x:v>10</x:v>
      </x:c>
      <x:c r="C9" s="35" t="n">
        <x:f>AVERAGEIFS('Исходные данные'!$D$3:$D$62,'Исходные данные'!$C$3:$C$62,A9)</x:f>
        <x:v>3.3909999999999996</x:v>
      </x:c>
      <x:c r="D9" s="35" t="n">
        <x:f>AVERAGEIFS('Исходные данные'!$E$3:$E$62,'Исходные данные'!$C$3:$C$62,A9)</x:f>
        <x:v>45.37</x:v>
      </x:c>
      <x:c r="E9" s="29" t="n">
        <x:f>COUNTIFS('Исходные данные'!$C$3:$C$62,A9,'Исходные данные'!$G$3:$G$62,"Высокая")</x:f>
        <x:v>0</x:v>
      </x:c>
      <x:c r="F9" s="32" t="n">
        <x:f>IF(B9=0,"",E9/B9)</x:f>
        <x:v>0</x:v>
      </x:c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Рамный путепровод</x:v>
      </x:c>
      <x:c r="B10" s="28" t="n">
        <x:f>COUNTIFS('Исходные данные'!$C$3:$C$62,A10)</x:f>
        <x:v>10</x:v>
      </x:c>
      <x:c r="C10" s="34" t="n">
        <x:f>AVERAGEIFS('Исходные данные'!$D$3:$D$62,'Исходные данные'!$C$3:$C$62,A10)</x:f>
        <x:v>4.889</x:v>
      </x:c>
      <x:c r="D10" s="34" t="n">
        <x:f>AVERAGEIFS('Исходные данные'!$E$3:$E$62,'Исходные данные'!$C$3:$C$62,A10)</x:f>
        <x:v>63.60999999999999</x:v>
      </x:c>
      <x:c r="E10" s="28" t="n">
        <x:f>COUNTIFS('Исходные данные'!$C$3:$C$62,A10,'Исходные данные'!$G$3:$G$62,"Высокая")</x:f>
        <x:v>5</x:v>
      </x:c>
      <x:c r="F10" s="31" t="n">
        <x:f>IF(B10=0,"",E10/B10)</x:f>
        <x:v>0.5</x:v>
      </x:c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Стальной балочный</x:v>
      </x:c>
      <x:c r="B11" s="29" t="n">
        <x:f>COUNTIFS('Исходные данные'!$C$3:$C$62,A11)</x:f>
        <x:v>10</x:v>
      </x:c>
      <x:c r="C11" s="35" t="n">
        <x:f>AVERAGEIFS('Исходные данные'!$D$3:$D$62,'Исходные данные'!$C$3:$C$62,A11)</x:f>
        <x:v>3.0439999999999996</x:v>
      </x:c>
      <x:c r="D11" s="35" t="n">
        <x:f>AVERAGEIFS('Исходные данные'!$E$3:$E$62,'Исходные данные'!$C$3:$C$62,A11)</x:f>
        <x:v>34.959999999999994</x:v>
      </x:c>
      <x:c r="E11" s="29" t="n">
        <x:f>COUNTIFS('Исходные данные'!$C$3:$C$62,A11,'Исходные данные'!$G$3:$G$62,"Высокая")</x:f>
        <x:v>0</x:v>
      </x:c>
      <x:c r="F11" s="32" t="n">
        <x:f>IF(B11=0,"",E11/B11)</x:f>
        <x:v>0</x:v>
      </x:c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60</x:v>
      </x:c>
      <x:c r="C12" s="36" t="n">
        <x:f>AVERAGE('Исходные данные'!$D$3:$D$62)</x:f>
        <x:v>3.999833333333333</x:v>
      </x:c>
      <x:c r="D12" s="36" t="n">
        <x:f>AVERAGE('Исходные данные'!$E$3:$E$62)</x:f>
        <x:v>50.323333333333316</x:v>
      </x:c>
      <x:c r="E12" s="30" t="n">
        <x:f>SUM(E6:E11)</x:f>
        <x:v>16</x:v>
      </x:c>
      <x:c r="F12" s="33" t="n">
        <x:f>E12/B12</x:f>
        <x:v>0.26666666666666666</x:v>
      </x:c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  <x:drawing xmlns:r="http://schemas.openxmlformats.org/officeDocument/2006/relationships" r:id="R38710af85c6d4554"/>
</x:worksheet>
</file>

<file path=xl/worksheets/sheet1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4" t="str">
        <x:v>Сводная таблица 4. Показатели по обслуживающим организациям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Нагрузка и состояние объектов в разрезе обслуживающих организаций.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4" hidden="0" customHeight="1">
      <x:c r="A5" s="24" t="str">
        <x:v>Организация</x:v>
      </x:c>
      <x:c r="B5" s="24" t="str">
        <x:v>Количество объектов</x:v>
      </x:c>
      <x:c r="C5" s="24" t="str">
        <x:v>Средняя вибрация, мм/с</x:v>
      </x:c>
      <x:c r="D5" s="24" t="str">
        <x:v>Средний индекс износа, %</x:v>
      </x:c>
      <x:c r="E5" s="24" t="str">
        <x:v>Высокий риск, объектов</x:v>
      </x:c>
      <x:c r="F5" s="24" t="str">
        <x:v>Доля высокого риска</x:v>
      </x:c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City Bridge Service</x:v>
      </x:c>
      <x:c r="B6" s="28" t="n">
        <x:f>COUNTIFS('Исходные данные'!$F$3:$F$62,A6)</x:f>
        <x:v>20</x:v>
      </x:c>
      <x:c r="C6" s="34" t="n">
        <x:f>AVERAGEIFS('Исходные данные'!$D$3:$D$62,'Исходные данные'!$F$3:$F$62,A6)</x:f>
        <x:v>3.903</x:v>
      </x:c>
      <x:c r="D6" s="34" t="n">
        <x:f>AVERAGEIFS('Исходные данные'!$E$3:$E$62,'Исходные данные'!$F$3:$F$62,A6)</x:f>
        <x:v>47.39500000000001</x:v>
      </x:c>
      <x:c r="E6" s="28" t="n">
        <x:f>COUNTIFS('Исходные данные'!$F$3:$F$62,A6,'Исходные данные'!$G$3:$G$62,"Высокая")</x:f>
        <x:v>4</x:v>
      </x:c>
      <x:c r="F6" s="31" t="n">
        <x:f>IF(B6=0,"",E6/B6)</x:f>
        <x:v>0.2</x:v>
      </x:c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InfraRoad Maintenance</x:v>
      </x:c>
      <x:c r="B7" s="29" t="n">
        <x:f>COUNTIFS('Исходные данные'!$F$3:$F$62,A7)</x:f>
        <x:v>20</x:v>
      </x:c>
      <x:c r="C7" s="35" t="n">
        <x:f>AVERAGEIFS('Исходные данные'!$D$3:$D$62,'Исходные данные'!$F$3:$F$62,A7)</x:f>
        <x:v>3.9489999999999994</x:v>
      </x:c>
      <x:c r="D7" s="35" t="n">
        <x:f>AVERAGEIFS('Исходные данные'!$E$3:$E$62,'Исходные данные'!$F$3:$F$62,A7)</x:f>
        <x:v>50.720000000000006</x:v>
      </x:c>
      <x:c r="E7" s="29" t="n">
        <x:f>COUNTIFS('Исходные данные'!$F$3:$F$62,A7,'Исходные данные'!$G$3:$G$62,"Высокая")</x:f>
        <x:v>5</x:v>
      </x:c>
      <x:c r="F7" s="32" t="n">
        <x:f>IF(B7=0,"",E7/B7)</x:f>
        <x:v>0.25</x:v>
      </x:c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Urban Structures Unit</x:v>
      </x:c>
      <x:c r="B8" s="28" t="n">
        <x:f>COUNTIFS('Исходные данные'!$F$3:$F$62,A8)</x:f>
        <x:v>20</x:v>
      </x:c>
      <x:c r="C8" s="34" t="n">
        <x:f>AVERAGEIFS('Исходные данные'!$D$3:$D$62,'Исходные данные'!$F$3:$F$62,A8)</x:f>
        <x:v>4.147500000000001</x:v>
      </x:c>
      <x:c r="D8" s="34" t="n">
        <x:f>AVERAGEIFS('Исходные данные'!$E$3:$E$62,'Исходные данные'!$F$3:$F$62,A8)</x:f>
        <x:v>52.855000000000004</x:v>
      </x:c>
      <x:c r="E8" s="28" t="n">
        <x:f>COUNTIFS('Исходные данные'!$F$3:$F$62,A8,'Исходные данные'!$G$3:$G$62,"Высокая")</x:f>
        <x:v>7</x:v>
      </x:c>
      <x:c r="F8" s="31" t="n">
        <x:f>IF(B8=0,"",E8/B8)</x:f>
        <x:v>0.35</x:v>
      </x:c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6" t="str">
        <x:v>Итого</x:v>
      </x:c>
      <x:c r="B9" s="30" t="n">
        <x:f>SUM(B6:B8)</x:f>
        <x:v>60</x:v>
      </x:c>
      <x:c r="C9" s="36" t="n">
        <x:f>AVERAGE('Исходные данные'!$D$3:$D$62)</x:f>
        <x:v>3.999833333333333</x:v>
      </x:c>
      <x:c r="D9" s="36" t="n">
        <x:f>AVERAGE('Исходные данные'!$E$3:$E$62)</x:f>
        <x:v>50.323333333333316</x:v>
      </x:c>
      <x:c r="E9" s="30" t="n">
        <x:f>SUM(E6:E8)</x:f>
        <x:v>16</x:v>
      </x:c>
      <x:c r="F9" s="33" t="n">
        <x:f>E9/B9</x:f>
        <x:v>0.26666666666666666</x:v>
      </x:c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  <x:drawing xmlns:r="http://schemas.openxmlformats.org/officeDocument/2006/relationships" r:id="R4619876bf29a4cb5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2">
      <x:c r="A2" s="14" t="str">
        <x:v>Сводная таблица 5. Район и категория риска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Количество объектов каждой категории риска в каждом районе.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Район</x:v>
      </x:c>
      <x:c r="B5" s="24" t="str">
        <x:v>Высокая</x:v>
      </x:c>
      <x:c r="C5" s="24" t="str">
        <x:v>Средняя</x:v>
      </x:c>
      <x:c r="D5" s="24" t="str">
        <x:v>Низкая</x:v>
      </x:c>
      <x:c r="E5" s="24" t="str">
        <x:v>Итого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Восточный</x:v>
      </x:c>
      <x:c r="B6" s="28" t="n">
        <x:f>COUNTIFS('Исходные данные'!$B$3:$B$62,$A6,'Исходные данные'!$G$3:$G$62,B$5)</x:f>
        <x:v>4</x:v>
      </x:c>
      <x:c r="C6" s="28" t="n">
        <x:f>COUNTIFS('Исходные данные'!$B$3:$B$62,$A6,'Исходные данные'!$G$3:$G$62,C$5)</x:f>
        <x:v>11</x:v>
      </x:c>
      <x:c r="D6" s="28" t="n">
        <x:f>COUNTIFS('Исходные данные'!$B$3:$B$62,$A6,'Исходные данные'!$G$3:$G$62,D$5)</x:f>
        <x:v>0</x:v>
      </x:c>
      <x:c r="E6" s="28" t="n">
        <x:f>SUM(B6:D6)</x:f>
        <x:v>15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Западный</x:v>
      </x:c>
      <x:c r="B7" s="29" t="n">
        <x:f>COUNTIFS('Исходные данные'!$B$3:$B$62,$A7,'Исходные данные'!$G$3:$G$62,B$5)</x:f>
        <x:v>2</x:v>
      </x:c>
      <x:c r="C7" s="29" t="n">
        <x:f>COUNTIFS('Исходные данные'!$B$3:$B$62,$A7,'Исходные данные'!$G$3:$G$62,C$5)</x:f>
        <x:v>6</x:v>
      </x:c>
      <x:c r="D7" s="29" t="n">
        <x:f>COUNTIFS('Исходные данные'!$B$3:$B$62,$A7,'Исходные данные'!$G$3:$G$62,D$5)</x:f>
        <x:v>0</x:v>
      </x:c>
      <x:c r="E7" s="29" t="n">
        <x:f>SUM(B7:D7)</x:f>
        <x:v>8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Промышленный</x:v>
      </x:c>
      <x:c r="B8" s="28" t="n">
        <x:f>COUNTIFS('Исходные данные'!$B$3:$B$62,$A8,'Исходные данные'!$G$3:$G$62,B$5)</x:f>
        <x:v>4</x:v>
      </x:c>
      <x:c r="C8" s="28" t="n">
        <x:f>COUNTIFS('Исходные данные'!$B$3:$B$62,$A8,'Исходные данные'!$G$3:$G$62,C$5)</x:f>
        <x:v>4</x:v>
      </x:c>
      <x:c r="D8" s="28" t="n">
        <x:f>COUNTIFS('Исходные данные'!$B$3:$B$62,$A8,'Исходные данные'!$G$3:$G$62,D$5)</x:f>
        <x:v>0</x:v>
      </x:c>
      <x:c r="E8" s="28" t="n">
        <x:f>SUM(B8:D8)</x:f>
        <x:v>8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Северный</x:v>
      </x:c>
      <x:c r="B9" s="29" t="n">
        <x:f>COUNTIFS('Исходные данные'!$B$3:$B$62,$A9,'Исходные данные'!$G$3:$G$62,B$5)</x:f>
        <x:v>1</x:v>
      </x:c>
      <x:c r="C9" s="29" t="n">
        <x:f>COUNTIFS('Исходные данные'!$B$3:$B$62,$A9,'Исходные данные'!$G$3:$G$62,C$5)</x:f>
        <x:v>6</x:v>
      </x:c>
      <x:c r="D9" s="29" t="n">
        <x:f>COUNTIFS('Исходные данные'!$B$3:$B$62,$A9,'Исходные данные'!$G$3:$G$62,D$5)</x:f>
        <x:v>0</x:v>
      </x:c>
      <x:c r="E9" s="29" t="n">
        <x:f>SUM(B9:D9)</x:f>
        <x:v>7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Центральный</x:v>
      </x:c>
      <x:c r="B10" s="28" t="n">
        <x:f>COUNTIFS('Исходные данные'!$B$3:$B$62,$A10,'Исходные данные'!$G$3:$G$62,B$5)</x:f>
        <x:v>4</x:v>
      </x:c>
      <x:c r="C10" s="28" t="n">
        <x:f>COUNTIFS('Исходные данные'!$B$3:$B$62,$A10,'Исходные данные'!$G$3:$G$62,C$5)</x:f>
        <x:v>7</x:v>
      </x:c>
      <x:c r="D10" s="28" t="n">
        <x:f>COUNTIFS('Исходные данные'!$B$3:$B$62,$A10,'Исходные данные'!$G$3:$G$62,D$5)</x:f>
        <x:v>4</x:v>
      </x:c>
      <x:c r="E10" s="28" t="n">
        <x:f>SUM(B10:D10)</x:f>
        <x:v>15</x:v>
      </x:c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Южный</x:v>
      </x:c>
      <x:c r="B11" s="29" t="n">
        <x:f>COUNTIFS('Исходные данные'!$B$3:$B$62,$A11,'Исходные данные'!$G$3:$G$62,B$5)</x:f>
        <x:v>1</x:v>
      </x:c>
      <x:c r="C11" s="29" t="n">
        <x:f>COUNTIFS('Исходные данные'!$B$3:$B$62,$A11,'Исходные данные'!$G$3:$G$62,C$5)</x:f>
        <x:v>6</x:v>
      </x:c>
      <x:c r="D11" s="29" t="n">
        <x:f>COUNTIFS('Исходные данные'!$B$3:$B$62,$A11,'Исходные данные'!$G$3:$G$62,D$5)</x:f>
        <x:v>0</x:v>
      </x:c>
      <x:c r="E11" s="29" t="n">
        <x:f>SUM(B11:D11)</x:f>
        <x:v>7</x:v>
      </x:c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16</x:v>
      </x:c>
      <x:c r="C12" s="30" t="n">
        <x:f>SUM(C6:C11)</x:f>
        <x:v>40</x:v>
      </x:c>
      <x:c r="D12" s="30" t="n">
        <x:f>SUM(D6:D11)</x:f>
        <x:v>4</x:v>
      </x:c>
      <x:c r="E12" s="30" t="n">
        <x:f>SUM(E6:E11)</x:f>
        <x:v>60</x:v>
      </x:c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conditionalFormatting sqref="B6:D11">
    <x:cfRule type="colorScale" priority="1">
      <x:colorScale>
        <x:cfvo type="min"/>
        <x:cfvo type="percentile" val="50"/>
        <x:cfvo type="max"/>
        <x:color rgb="FFFFFFFF"/>
        <x:color rgb="FFF7C7A6"/>
        <x:color rgb="FFC00000"/>
      </x:colorScale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2">
      <x:c r="A2" s="14" t="str">
        <x:v>Сводная таблица 6. Тип конструкции и категория риска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Распределение категорий риска по типам конструкций.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Тип конструкции</x:v>
      </x:c>
      <x:c r="B5" s="24" t="str">
        <x:v>Высокая</x:v>
      </x:c>
      <x:c r="C5" s="24" t="str">
        <x:v>Средняя</x:v>
      </x:c>
      <x:c r="D5" s="24" t="str">
        <x:v>Низкая</x:v>
      </x:c>
      <x:c r="E5" s="24" t="str">
        <x:v>Итого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Арочный стальной</x:v>
      </x:c>
      <x:c r="B6" s="28" t="n">
        <x:f>COUNTIFS('Исходные данные'!$C$3:$C$62,$A6,'Исходные данные'!$G$3:$G$62,B$5)</x:f>
        <x:v>4</x:v>
      </x:c>
      <x:c r="C6" s="28" t="n">
        <x:f>COUNTIFS('Исходные данные'!$C$3:$C$62,$A6,'Исходные данные'!$G$3:$G$62,C$5)</x:f>
        <x:v>6</x:v>
      </x:c>
      <x:c r="D6" s="28" t="n">
        <x:f>COUNTIFS('Исходные данные'!$C$3:$C$62,$A6,'Исходные данные'!$G$3:$G$62,D$5)</x:f>
        <x:v>0</x:v>
      </x:c>
      <x:c r="E6" s="28" t="n">
        <x:f>SUM(B6:D6)</x:f>
        <x:v>10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Вантовый</x:v>
      </x:c>
      <x:c r="B7" s="29" t="n">
        <x:f>COUNTIFS('Исходные данные'!$C$3:$C$62,$A7,'Исходные данные'!$G$3:$G$62,B$5)</x:f>
        <x:v>7</x:v>
      </x:c>
      <x:c r="C7" s="29" t="n">
        <x:f>COUNTIFS('Исходные данные'!$C$3:$C$62,$A7,'Исходные данные'!$G$3:$G$62,C$5)</x:f>
        <x:v>3</x:v>
      </x:c>
      <x:c r="D7" s="29" t="n">
        <x:f>COUNTIFS('Исходные данные'!$C$3:$C$62,$A7,'Исходные данные'!$G$3:$G$62,D$5)</x:f>
        <x:v>0</x:v>
      </x:c>
      <x:c r="E7" s="29" t="n">
        <x:f>SUM(B7:D7)</x:f>
        <x:v>10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Железобетонный балочный</x:v>
      </x:c>
      <x:c r="B8" s="28" t="n">
        <x:f>COUNTIFS('Исходные данные'!$C$3:$C$62,$A8,'Исходные данные'!$G$3:$G$62,B$5)</x:f>
        <x:v>0</x:v>
      </x:c>
      <x:c r="C8" s="28" t="n">
        <x:f>COUNTIFS('Исходные данные'!$C$3:$C$62,$A8,'Исходные данные'!$G$3:$G$62,C$5)</x:f>
        <x:v>8</x:v>
      </x:c>
      <x:c r="D8" s="28" t="n">
        <x:f>COUNTIFS('Исходные данные'!$C$3:$C$62,$A8,'Исходные данные'!$G$3:$G$62,D$5)</x:f>
        <x:v>2</x:v>
      </x:c>
      <x:c r="E8" s="28" t="n">
        <x:f>SUM(B8:D8)</x:f>
        <x:v>10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Коробчатый железобетонный</x:v>
      </x:c>
      <x:c r="B9" s="29" t="n">
        <x:f>COUNTIFS('Исходные данные'!$C$3:$C$62,$A9,'Исходные данные'!$G$3:$G$62,B$5)</x:f>
        <x:v>0</x:v>
      </x:c>
      <x:c r="C9" s="29" t="n">
        <x:f>COUNTIFS('Исходные данные'!$C$3:$C$62,$A9,'Исходные данные'!$G$3:$G$62,C$5)</x:f>
        <x:v>9</x:v>
      </x:c>
      <x:c r="D9" s="29" t="n">
        <x:f>COUNTIFS('Исходные данные'!$C$3:$C$62,$A9,'Исходные данные'!$G$3:$G$62,D$5)</x:f>
        <x:v>1</x:v>
      </x:c>
      <x:c r="E9" s="29" t="n">
        <x:f>SUM(B9:D9)</x:f>
        <x:v>10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Рамный путепровод</x:v>
      </x:c>
      <x:c r="B10" s="28" t="n">
        <x:f>COUNTIFS('Исходные данные'!$C$3:$C$62,$A10,'Исходные данные'!$G$3:$G$62,B$5)</x:f>
        <x:v>5</x:v>
      </x:c>
      <x:c r="C10" s="28" t="n">
        <x:f>COUNTIFS('Исходные данные'!$C$3:$C$62,$A10,'Исходные данные'!$G$3:$G$62,C$5)</x:f>
        <x:v>5</x:v>
      </x:c>
      <x:c r="D10" s="28" t="n">
        <x:f>COUNTIFS('Исходные данные'!$C$3:$C$62,$A10,'Исходные данные'!$G$3:$G$62,D$5)</x:f>
        <x:v>0</x:v>
      </x:c>
      <x:c r="E10" s="28" t="n">
        <x:f>SUM(B10:D10)</x:f>
        <x:v>10</x:v>
      </x:c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Стальной балочный</x:v>
      </x:c>
      <x:c r="B11" s="29" t="n">
        <x:f>COUNTIFS('Исходные данные'!$C$3:$C$62,$A11,'Исходные данные'!$G$3:$G$62,B$5)</x:f>
        <x:v>0</x:v>
      </x:c>
      <x:c r="C11" s="29" t="n">
        <x:f>COUNTIFS('Исходные данные'!$C$3:$C$62,$A11,'Исходные данные'!$G$3:$G$62,C$5)</x:f>
        <x:v>9</x:v>
      </x:c>
      <x:c r="D11" s="29" t="n">
        <x:f>COUNTIFS('Исходные данные'!$C$3:$C$62,$A11,'Исходные данные'!$G$3:$G$62,D$5)</x:f>
        <x:v>1</x:v>
      </x:c>
      <x:c r="E11" s="29" t="n">
        <x:f>SUM(B11:D11)</x:f>
        <x:v>10</x:v>
      </x:c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16</x:v>
      </x:c>
      <x:c r="C12" s="30" t="n">
        <x:f>SUM(C6:C11)</x:f>
        <x:v>40</x:v>
      </x:c>
      <x:c r="D12" s="30" t="n">
        <x:f>SUM(D6:D11)</x:f>
        <x:v>4</x:v>
      </x:c>
      <x:c r="E12" s="30" t="n">
        <x:f>SUM(E6:E11)</x:f>
        <x:v>60</x:v>
      </x:c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conditionalFormatting sqref="B6:D11">
    <x:cfRule type="colorScale" priority="1">
      <x:colorScale>
        <x:cfvo type="min"/>
        <x:cfvo type="percentile" val="50"/>
        <x:cfvo type="max"/>
        <x:color rgb="FFFFFFFF"/>
        <x:color rgb="FFF7C7A6"/>
        <x:color rgb="FFC00000"/>
      </x:colorScale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2">
      <x:c r="A2" s="14" t="str">
        <x:v>Сводная таблица 7. Организация и категория риска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Распределение категорий риска по обслуживающим организациям.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Организация</x:v>
      </x:c>
      <x:c r="B5" s="24" t="str">
        <x:v>Высокая</x:v>
      </x:c>
      <x:c r="C5" s="24" t="str">
        <x:v>Средняя</x:v>
      </x:c>
      <x:c r="D5" s="24" t="str">
        <x:v>Низкая</x:v>
      </x:c>
      <x:c r="E5" s="24" t="str">
        <x:v>Итого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City Bridge Service</x:v>
      </x:c>
      <x:c r="B6" s="28" t="n">
        <x:f>COUNTIFS('Исходные данные'!$F$3:$F$62,$A6,'Исходные данные'!$G$3:$G$62,B$5)</x:f>
        <x:v>4</x:v>
      </x:c>
      <x:c r="C6" s="28" t="n">
        <x:f>COUNTIFS('Исходные данные'!$F$3:$F$62,$A6,'Исходные данные'!$G$3:$G$62,C$5)</x:f>
        <x:v>16</x:v>
      </x:c>
      <x:c r="D6" s="28" t="n">
        <x:f>COUNTIFS('Исходные данные'!$F$3:$F$62,$A6,'Исходные данные'!$G$3:$G$62,D$5)</x:f>
        <x:v>0</x:v>
      </x:c>
      <x:c r="E6" s="28" t="n">
        <x:f>SUM(B6:D6)</x:f>
        <x:v>20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InfraRoad Maintenance</x:v>
      </x:c>
      <x:c r="B7" s="29" t="n">
        <x:f>COUNTIFS('Исходные данные'!$F$3:$F$62,$A7,'Исходные данные'!$G$3:$G$62,B$5)</x:f>
        <x:v>5</x:v>
      </x:c>
      <x:c r="C7" s="29" t="n">
        <x:f>COUNTIFS('Исходные данные'!$F$3:$F$62,$A7,'Исходные данные'!$G$3:$G$62,C$5)</x:f>
        <x:v>13</x:v>
      </x:c>
      <x:c r="D7" s="29" t="n">
        <x:f>COUNTIFS('Исходные данные'!$F$3:$F$62,$A7,'Исходные данные'!$G$3:$G$62,D$5)</x:f>
        <x:v>2</x:v>
      </x:c>
      <x:c r="E7" s="29" t="n">
        <x:f>SUM(B7:D7)</x:f>
        <x:v>20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Urban Structures Unit</x:v>
      </x:c>
      <x:c r="B8" s="28" t="n">
        <x:f>COUNTIFS('Исходные данные'!$F$3:$F$62,$A8,'Исходные данные'!$G$3:$G$62,B$5)</x:f>
        <x:v>7</x:v>
      </x:c>
      <x:c r="C8" s="28" t="n">
        <x:f>COUNTIFS('Исходные данные'!$F$3:$F$62,$A8,'Исходные данные'!$G$3:$G$62,C$5)</x:f>
        <x:v>11</x:v>
      </x:c>
      <x:c r="D8" s="28" t="n">
        <x:f>COUNTIFS('Исходные данные'!$F$3:$F$62,$A8,'Исходные данные'!$G$3:$G$62,D$5)</x:f>
        <x:v>2</x:v>
      </x:c>
      <x:c r="E8" s="28" t="n">
        <x:f>SUM(B8:D8)</x:f>
        <x:v>20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6" t="str">
        <x:v>Итого</x:v>
      </x:c>
      <x:c r="B9" s="30" t="n">
        <x:f>SUM(B6:B8)</x:f>
        <x:v>16</x:v>
      </x:c>
      <x:c r="C9" s="30" t="n">
        <x:f>SUM(C6:C8)</x:f>
        <x:v>40</x:v>
      </x:c>
      <x:c r="D9" s="30" t="n">
        <x:f>SUM(D6:D8)</x:f>
        <x:v>4</x:v>
      </x:c>
      <x:c r="E9" s="30" t="n">
        <x:f>SUM(E6:E8)</x:f>
        <x:v>60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conditionalFormatting sqref="B6:D8">
    <x:cfRule type="colorScale" priority="1">
      <x:colorScale>
        <x:cfvo type="min"/>
        <x:cfvo type="percentile" val="50"/>
        <x:cfvo type="max"/>
        <x:color rgb="FFFFFFFF"/>
        <x:color rgb="FFF7C7A6"/>
        <x:color rgb="FFC00000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2">
      <x:c r="A2" s="14" t="str">
        <x:v>Сводная таблица 8. Район и обслуживающая организация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Количество объектов каждой организации по районам.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Район</x:v>
      </x:c>
      <x:c r="B5" s="24" t="str">
        <x:v>City Bridge Service</x:v>
      </x:c>
      <x:c r="C5" s="24" t="str">
        <x:v>InfraRoad Maintenance</x:v>
      </x:c>
      <x:c r="D5" s="24" t="str">
        <x:v>Urban Structures Unit</x:v>
      </x:c>
      <x:c r="E5" s="24" t="str">
        <x:v>Итого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Восточный</x:v>
      </x:c>
      <x:c r="B6" s="28" t="n">
        <x:f>COUNTIFS('Исходные данные'!$B$3:$B$62,$A6,'Исходные данные'!$F$3:$F$62,B$5)</x:f>
        <x:v>5</x:v>
      </x:c>
      <x:c r="C6" s="28" t="n">
        <x:f>COUNTIFS('Исходные данные'!$B$3:$B$62,$A6,'Исходные данные'!$F$3:$F$62,C$5)</x:f>
        <x:v>4</x:v>
      </x:c>
      <x:c r="D6" s="28" t="n">
        <x:f>COUNTIFS('Исходные данные'!$B$3:$B$62,$A6,'Исходные данные'!$F$3:$F$62,D$5)</x:f>
        <x:v>6</x:v>
      </x:c>
      <x:c r="E6" s="28" t="n">
        <x:f>SUM(B6:D6)</x:f>
        <x:v>15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Западный</x:v>
      </x:c>
      <x:c r="B7" s="29" t="n">
        <x:f>COUNTIFS('Исходные данные'!$B$3:$B$62,$A7,'Исходные данные'!$F$3:$F$62,B$5)</x:f>
        <x:v>3</x:v>
      </x:c>
      <x:c r="C7" s="29" t="n">
        <x:f>COUNTIFS('Исходные данные'!$B$3:$B$62,$A7,'Исходные данные'!$F$3:$F$62,C$5)</x:f>
        <x:v>3</x:v>
      </x:c>
      <x:c r="D7" s="29" t="n">
        <x:f>COUNTIFS('Исходные данные'!$B$3:$B$62,$A7,'Исходные данные'!$F$3:$F$62,D$5)</x:f>
        <x:v>2</x:v>
      </x:c>
      <x:c r="E7" s="29" t="n">
        <x:f>SUM(B7:D7)</x:f>
        <x:v>8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Промышленный</x:v>
      </x:c>
      <x:c r="B8" s="28" t="n">
        <x:f>COUNTIFS('Исходные данные'!$B$3:$B$62,$A8,'Исходные данные'!$F$3:$F$62,B$5)</x:f>
        <x:v>3</x:v>
      </x:c>
      <x:c r="C8" s="28" t="n">
        <x:f>COUNTIFS('Исходные данные'!$B$3:$B$62,$A8,'Исходные данные'!$F$3:$F$62,C$5)</x:f>
        <x:v>3</x:v>
      </x:c>
      <x:c r="D8" s="28" t="n">
        <x:f>COUNTIFS('Исходные данные'!$B$3:$B$62,$A8,'Исходные данные'!$F$3:$F$62,D$5)</x:f>
        <x:v>2</x:v>
      </x:c>
      <x:c r="E8" s="28" t="n">
        <x:f>SUM(B8:D8)</x:f>
        <x:v>8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Северный</x:v>
      </x:c>
      <x:c r="B9" s="29" t="n">
        <x:f>COUNTIFS('Исходные данные'!$B$3:$B$62,$A9,'Исходные данные'!$F$3:$F$62,B$5)</x:f>
        <x:v>3</x:v>
      </x:c>
      <x:c r="C9" s="29" t="n">
        <x:f>COUNTIFS('Исходные данные'!$B$3:$B$62,$A9,'Исходные данные'!$F$3:$F$62,C$5)</x:f>
        <x:v>2</x:v>
      </x:c>
      <x:c r="D9" s="29" t="n">
        <x:f>COUNTIFS('Исходные данные'!$B$3:$B$62,$A9,'Исходные данные'!$F$3:$F$62,D$5)</x:f>
        <x:v>2</x:v>
      </x:c>
      <x:c r="E9" s="29" t="n">
        <x:f>SUM(B9:D9)</x:f>
        <x:v>7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Центральный</x:v>
      </x:c>
      <x:c r="B10" s="28" t="n">
        <x:f>COUNTIFS('Исходные данные'!$B$3:$B$62,$A10,'Исходные данные'!$F$3:$F$62,B$5)</x:f>
        <x:v>4</x:v>
      </x:c>
      <x:c r="C10" s="28" t="n">
        <x:f>COUNTIFS('Исходные данные'!$B$3:$B$62,$A10,'Исходные данные'!$F$3:$F$62,C$5)</x:f>
        <x:v>5</x:v>
      </x:c>
      <x:c r="D10" s="28" t="n">
        <x:f>COUNTIFS('Исходные данные'!$B$3:$B$62,$A10,'Исходные данные'!$F$3:$F$62,D$5)</x:f>
        <x:v>6</x:v>
      </x:c>
      <x:c r="E10" s="28" t="n">
        <x:f>SUM(B10:D10)</x:f>
        <x:v>15</x:v>
      </x:c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Южный</x:v>
      </x:c>
      <x:c r="B11" s="29" t="n">
        <x:f>COUNTIFS('Исходные данные'!$B$3:$B$62,$A11,'Исходные данные'!$F$3:$F$62,B$5)</x:f>
        <x:v>2</x:v>
      </x:c>
      <x:c r="C11" s="29" t="n">
        <x:f>COUNTIFS('Исходные данные'!$B$3:$B$62,$A11,'Исходные данные'!$F$3:$F$62,C$5)</x:f>
        <x:v>3</x:v>
      </x:c>
      <x:c r="D11" s="29" t="n">
        <x:f>COUNTIFS('Исходные данные'!$B$3:$B$62,$A11,'Исходные данные'!$F$3:$F$62,D$5)</x:f>
        <x:v>2</x:v>
      </x:c>
      <x:c r="E11" s="29" t="n">
        <x:f>SUM(B11:D11)</x:f>
        <x:v>7</x:v>
      </x:c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20</x:v>
      </x:c>
      <x:c r="C12" s="30" t="n">
        <x:f>SUM(C6:C11)</x:f>
        <x:v>20</x:v>
      </x:c>
      <x:c r="D12" s="30" t="n">
        <x:f>SUM(D6:D11)</x:f>
        <x:v>20</x:v>
      </x:c>
      <x:c r="E12" s="30" t="n">
        <x:f>SUM(E6:E11)</x:f>
        <x:v>60</x:v>
      </x:c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conditionalFormatting sqref="B6:D11">
    <x:cfRule type="colorScale" priority="1">
      <x:colorScale>
        <x:cfvo type="min"/>
        <x:cfvo type="percentile" val="50"/>
        <x:cfvo type="max"/>
        <x:color rgb="FFFFFFFF"/>
        <x:color rgb="FFD9EAF7"/>
        <x:color rgb="FF2F75B5"/>
      </x:colorScale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2">
      <x:c r="A2" s="14" t="str">
        <x:v>Сводная таблица 9. Тип конструкции и обслуживающая организация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Количество объектов каждой организации по типам конструкций.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Тип конструкции</x:v>
      </x:c>
      <x:c r="B5" s="24" t="str">
        <x:v>City Bridge Service</x:v>
      </x:c>
      <x:c r="C5" s="24" t="str">
        <x:v>InfraRoad Maintenance</x:v>
      </x:c>
      <x:c r="D5" s="24" t="str">
        <x:v>Urban Structures Unit</x:v>
      </x:c>
      <x:c r="E5" s="24" t="str">
        <x:v>Итого</x:v>
      </x:c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Арочный стальной</x:v>
      </x:c>
      <x:c r="B6" s="28" t="n">
        <x:f>COUNTIFS('Исходные данные'!$C$3:$C$62,$A6,'Исходные данные'!$F$3:$F$62,B$5)</x:f>
        <x:v>4</x:v>
      </x:c>
      <x:c r="C6" s="28" t="n">
        <x:f>COUNTIFS('Исходные данные'!$C$3:$C$62,$A6,'Исходные данные'!$F$3:$F$62,C$5)</x:f>
        <x:v>3</x:v>
      </x:c>
      <x:c r="D6" s="28" t="n">
        <x:f>COUNTIFS('Исходные данные'!$C$3:$C$62,$A6,'Исходные данные'!$F$3:$F$62,D$5)</x:f>
        <x:v>3</x:v>
      </x:c>
      <x:c r="E6" s="28" t="n">
        <x:f>SUM(B6:D6)</x:f>
        <x:v>10</x:v>
      </x:c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Вантовый</x:v>
      </x:c>
      <x:c r="B7" s="29" t="n">
        <x:f>COUNTIFS('Исходные данные'!$C$3:$C$62,$A7,'Исходные данные'!$F$3:$F$62,B$5)</x:f>
        <x:v>3</x:v>
      </x:c>
      <x:c r="C7" s="29" t="n">
        <x:f>COUNTIFS('Исходные данные'!$C$3:$C$62,$A7,'Исходные данные'!$F$3:$F$62,C$5)</x:f>
        <x:v>3</x:v>
      </x:c>
      <x:c r="D7" s="29" t="n">
        <x:f>COUNTIFS('Исходные данные'!$C$3:$C$62,$A7,'Исходные данные'!$F$3:$F$62,D$5)</x:f>
        <x:v>4</x:v>
      </x:c>
      <x:c r="E7" s="29" t="n">
        <x:f>SUM(B7:D7)</x:f>
        <x:v>10</x:v>
      </x:c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Железобетонный балочный</x:v>
      </x:c>
      <x:c r="B8" s="28" t="n">
        <x:f>COUNTIFS('Исходные данные'!$C$3:$C$62,$A8,'Исходные данные'!$F$3:$F$62,B$5)</x:f>
        <x:v>3</x:v>
      </x:c>
      <x:c r="C8" s="28" t="n">
        <x:f>COUNTIFS('Исходные данные'!$C$3:$C$62,$A8,'Исходные данные'!$F$3:$F$62,C$5)</x:f>
        <x:v>3</x:v>
      </x:c>
      <x:c r="D8" s="28" t="n">
        <x:f>COUNTIFS('Исходные данные'!$C$3:$C$62,$A8,'Исходные данные'!$F$3:$F$62,D$5)</x:f>
        <x:v>4</x:v>
      </x:c>
      <x:c r="E8" s="28" t="n">
        <x:f>SUM(B8:D8)</x:f>
        <x:v>10</x:v>
      </x:c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Коробчатый железобетонный</x:v>
      </x:c>
      <x:c r="B9" s="29" t="n">
        <x:f>COUNTIFS('Исходные данные'!$C$3:$C$62,$A9,'Исходные данные'!$F$3:$F$62,B$5)</x:f>
        <x:v>3</x:v>
      </x:c>
      <x:c r="C9" s="29" t="n">
        <x:f>COUNTIFS('Исходные данные'!$C$3:$C$62,$A9,'Исходные данные'!$F$3:$F$62,C$5)</x:f>
        <x:v>4</x:v>
      </x:c>
      <x:c r="D9" s="29" t="n">
        <x:f>COUNTIFS('Исходные данные'!$C$3:$C$62,$A9,'Исходные данные'!$F$3:$F$62,D$5)</x:f>
        <x:v>3</x:v>
      </x:c>
      <x:c r="E9" s="29" t="n">
        <x:f>SUM(B9:D9)</x:f>
        <x:v>10</x:v>
      </x:c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20" t="str">
        <x:v>Рамный путепровод</x:v>
      </x:c>
      <x:c r="B10" s="28" t="n">
        <x:f>COUNTIFS('Исходные данные'!$C$3:$C$62,$A10,'Исходные данные'!$F$3:$F$62,B$5)</x:f>
        <x:v>3</x:v>
      </x:c>
      <x:c r="C10" s="28" t="n">
        <x:f>COUNTIFS('Исходные данные'!$C$3:$C$62,$A10,'Исходные данные'!$F$3:$F$62,C$5)</x:f>
        <x:v>4</x:v>
      </x:c>
      <x:c r="D10" s="28" t="n">
        <x:f>COUNTIFS('Исходные данные'!$C$3:$C$62,$A10,'Исходные данные'!$F$3:$F$62,D$5)</x:f>
        <x:v>3</x:v>
      </x:c>
      <x:c r="E10" s="28" t="n">
        <x:f>SUM(B10:D10)</x:f>
        <x:v>10</x:v>
      </x:c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27" t="str">
        <x:v>Стальной балочный</x:v>
      </x:c>
      <x:c r="B11" s="29" t="n">
        <x:f>COUNTIFS('Исходные данные'!$C$3:$C$62,$A11,'Исходные данные'!$F$3:$F$62,B$5)</x:f>
        <x:v>4</x:v>
      </x:c>
      <x:c r="C11" s="29" t="n">
        <x:f>COUNTIFS('Исходные данные'!$C$3:$C$62,$A11,'Исходные данные'!$F$3:$F$62,C$5)</x:f>
        <x:v>3</x:v>
      </x:c>
      <x:c r="D11" s="29" t="n">
        <x:f>COUNTIFS('Исходные данные'!$C$3:$C$62,$A11,'Исходные данные'!$F$3:$F$62,D$5)</x:f>
        <x:v>3</x:v>
      </x:c>
      <x:c r="E11" s="29" t="n">
        <x:f>SUM(B11:D11)</x:f>
        <x:v>10</x:v>
      </x:c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6" t="str">
        <x:v>Итого</x:v>
      </x:c>
      <x:c r="B12" s="30" t="n">
        <x:f>SUM(B6:B11)</x:f>
        <x:v>20</x:v>
      </x:c>
      <x:c r="C12" s="30" t="n">
        <x:f>SUM(C6:C11)</x:f>
        <x:v>20</x:v>
      </x:c>
      <x:c r="D12" s="30" t="n">
        <x:f>SUM(D6:D11)</x:f>
        <x:v>20</x:v>
      </x:c>
      <x:c r="E12" s="30" t="n">
        <x:f>SUM(E6:E11)</x:f>
        <x:v>60</x:v>
      </x:c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conditionalFormatting sqref="B6:D11">
    <x:cfRule type="colorScale" priority="1">
      <x:colorScale>
        <x:cfvo type="min"/>
        <x:cfvo type="percentile" val="50"/>
        <x:cfvo type="max"/>
        <x:color rgb="FFFFFFFF"/>
        <x:color rgb="FFD9EAF7"/>
        <x:color rgb="FF2F75B5"/>
      </x:colorScale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4" t="str">
        <x:v>Сводная таблица 10. Статистические показатели по категориям риска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Средние, минимальные и максимальные значения вибрации и индекса износа.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4" hidden="0" customHeight="1">
      <x:c r="A5" s="24" t="str">
        <x:v>Категория риска</x:v>
      </x:c>
      <x:c r="B5" s="24" t="str">
        <x:v>Количество</x:v>
      </x:c>
      <x:c r="C5" s="24" t="str">
        <x:v>Средняя вибрация</x:v>
      </x:c>
      <x:c r="D5" s="24" t="str">
        <x:v>Минимальная вибрация</x:v>
      </x:c>
      <x:c r="E5" s="24" t="str">
        <x:v>Максимальная вибрация</x:v>
      </x:c>
      <x:c r="F5" s="24" t="str">
        <x:v>Средний износ</x:v>
      </x:c>
      <x:c r="G5" s="24" t="str">
        <x:v>Минимальный износ</x:v>
      </x:c>
      <x:c r="H5" s="24" t="str">
        <x:v>Максимальный износ</x:v>
      </x:c>
      <x:c r="I5" s="17"/>
      <x:c r="J5" s="17"/>
      <x:c r="K5" s="17"/>
      <x:c r="L5" s="17"/>
      <x:c r="M5" s="17"/>
      <x:c r="N5" s="17"/>
    </x:row>
    <x:row r="6" ht="15" hidden="0" customHeight="1">
      <x:c r="A6" s="20" t="str">
        <x:v>Высокая</x:v>
      </x:c>
      <x:c r="B6" s="28" t="n">
        <x:f>COUNTIFS('Исходные данные'!$G$3:$G$62,A6)</x:f>
        <x:v>16</x:v>
      </x:c>
      <x:c r="C6" s="34" t="n">
        <x:f>AVERAGEIFS('Исходные данные'!$D$3:$D$62,'Исходные данные'!$G$3:$G$62,A6)</x:f>
        <x:v>5.504999999999999</x:v>
      </x:c>
      <x:c r="D6" s="34" t="n">
        <x:f>MINIFS('Исходные данные'!$D$3:$D$62,'Исходные данные'!$G$3:$G$62,A6)</x:f>
        <x:v>5.01</x:v>
      </x:c>
      <x:c r="E6" s="34" t="n">
        <x:f>MAXIFS('Исходные данные'!$D$3:$D$62,'Исходные данные'!$G$3:$G$62,A6)</x:f>
        <x:v>6.24</x:v>
      </x:c>
      <x:c r="F6" s="34" t="n">
        <x:f>AVERAGEIFS('Исходные данные'!$E$3:$E$62,'Исходные данные'!$G$3:$G$62,A6)</x:f>
        <x:v>65.43125</x:v>
      </x:c>
      <x:c r="G6" s="34" t="n">
        <x:f>MINIFS('Исходные данные'!$E$3:$E$62,'Исходные данные'!$G$3:$G$62,A6)</x:f>
        <x:v>49.6</x:v>
      </x:c>
      <x:c r="H6" s="34" t="n">
        <x:f>MAXIFS('Исходные данные'!$E$3:$E$62,'Исходные данные'!$G$3:$G$62,A6)</x:f>
        <x:v>77.7</x:v>
      </x:c>
      <x:c r="I6" s="17"/>
      <x:c r="J6" s="17"/>
      <x:c r="K6" s="17"/>
      <x:c r="L6" s="17"/>
      <x:c r="M6" s="17"/>
      <x:c r="N6" s="17"/>
    </x:row>
    <x:row r="7" ht="15" hidden="0" customHeight="1">
      <x:c r="A7" s="27" t="str">
        <x:v>Средняя</x:v>
      </x:c>
      <x:c r="B7" s="29" t="n">
        <x:f>COUNTIFS('Исходные данные'!$G$3:$G$62,A7)</x:f>
        <x:v>40</x:v>
      </x:c>
      <x:c r="C7" s="35" t="n">
        <x:f>AVERAGEIFS('Исходные данные'!$D$3:$D$62,'Исходные данные'!$G$3:$G$62,A7)</x:f>
        <x:v>3.5654999999999992</x:v>
      </x:c>
      <x:c r="D7" s="35" t="n">
        <x:f>MINIFS('Исходные данные'!$D$3:$D$62,'Исходные данные'!$G$3:$G$62,A7)</x:f>
        <x:v>2.43</x:v>
      </x:c>
      <x:c r="E7" s="35" t="n">
        <x:f>MAXIFS('Исходные данные'!$D$3:$D$62,'Исходные данные'!$G$3:$G$62,A7)</x:f>
        <x:v>4.79</x:v>
      </x:c>
      <x:c r="F7" s="35" t="n">
        <x:f>AVERAGEIFS('Исходные данные'!$E$3:$E$62,'Исходные данные'!$G$3:$G$62,A7)</x:f>
        <x:v>45.73500000000001</x:v>
      </x:c>
      <x:c r="G7" s="35" t="n">
        <x:f>MINIFS('Исходные данные'!$E$3:$E$62,'Исходные данные'!$G$3:$G$62,A7)</x:f>
        <x:v>25.2</x:v>
      </x:c>
      <x:c r="H7" s="35" t="n">
        <x:f>MAXIFS('Исходные данные'!$E$3:$E$62,'Исходные данные'!$G$3:$G$62,A7)</x:f>
        <x:v>69</x:v>
      </x:c>
      <x:c r="I7" s="17"/>
      <x:c r="J7" s="17"/>
      <x:c r="K7" s="17"/>
      <x:c r="L7" s="17"/>
      <x:c r="M7" s="17"/>
      <x:c r="N7" s="17"/>
    </x:row>
    <x:row r="8" ht="15" hidden="0" customHeight="1">
      <x:c r="A8" s="20" t="str">
        <x:v>Низкая</x:v>
      </x:c>
      <x:c r="B8" s="28" t="n">
        <x:f>COUNTIFS('Исходные данные'!$G$3:$G$62,A8)</x:f>
        <x:v>4</x:v>
      </x:c>
      <x:c r="C8" s="34" t="n">
        <x:f>AVERAGEIFS('Исходные данные'!$D$3:$D$62,'Исходные данные'!$G$3:$G$62,A8)</x:f>
        <x:v>2.3225</x:v>
      </x:c>
      <x:c r="D8" s="34" t="n">
        <x:f>MINIFS('Исходные данные'!$D$3:$D$62,'Исходные данные'!$G$3:$G$62,A8)</x:f>
        <x:v>2.23</x:v>
      </x:c>
      <x:c r="E8" s="34" t="n">
        <x:f>MAXIFS('Исходные данные'!$D$3:$D$62,'Исходные данные'!$G$3:$G$62,A8)</x:f>
        <x:v>2.48</x:v>
      </x:c>
      <x:c r="F8" s="34" t="n">
        <x:f>AVERAGEIFS('Исходные данные'!$E$3:$E$62,'Исходные данные'!$G$3:$G$62,A8)</x:f>
        <x:v>35.775</x:v>
      </x:c>
      <x:c r="G8" s="34" t="n">
        <x:f>MINIFS('Исходные данные'!$E$3:$E$62,'Исходные данные'!$G$3:$G$62,A8)</x:f>
        <x:v>33.1</x:v>
      </x:c>
      <x:c r="H8" s="34" t="n">
        <x:f>MAXIFS('Исходные данные'!$E$3:$E$62,'Исходные данные'!$G$3:$G$62,A8)</x:f>
        <x:v>38.4</x:v>
      </x:c>
      <x:c r="I8" s="17"/>
      <x:c r="J8" s="17"/>
      <x:c r="K8" s="17"/>
      <x:c r="L8" s="17"/>
      <x:c r="M8" s="17"/>
      <x:c r="N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  <x:drawing xmlns:r="http://schemas.openxmlformats.org/officeDocument/2006/relationships" r:id="Rbb0ee570a48e409e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46" hidden="0" customWidth="1"/>
    <x:col min="4" max="4" width="36" hidden="0" customWidth="1"/>
  </x:cols>
  <x:sheetData>
    <x:row r="2">
      <x:c r="A2" s="14" t="str">
        <x:v>Лабораторная работа 3. Анализ данных варианта 54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5" t="str">
        <x:v>Мониторинг состояния мостов и путепроводов. В книге построено 10 динамических сводных таблиц по 60 объектам.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15" hidden="0" customHeight="1">
      <x:c r="A5" s="24" t="str">
        <x:v>Показатель</x:v>
      </x:c>
      <x:c r="B5" s="24" t="str">
        <x:v>Значение</x:v>
      </x:c>
      <x:c r="C5" s="24" t="str">
        <x:v>Единица</x:v>
      </x:c>
      <x:c r="D5" s="24" t="str">
        <x:v>Комментарий</x:v>
      </x:c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 ht="15" hidden="0" customHeight="1">
      <x:c r="A6" s="20" t="str">
        <x:v>Объектов в выборке</x:v>
      </x:c>
      <x:c r="B6" s="28" t="n">
        <x:f>COUNTA('Исходные данные'!$A$3:$A$62)</x:f>
        <x:v>60</x:v>
      </x:c>
      <x:c r="C6" s="20" t="str">
        <x:v>объектов</x:v>
      </x:c>
      <x:c r="D6" s="20" t="str">
        <x:v>Исходные данные варианта 54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 ht="15" hidden="0" customHeight="1">
      <x:c r="A7" s="27" t="str">
        <x:v>Объектов высокого риска</x:v>
      </x:c>
      <x:c r="B7" s="29" t="n">
        <x:f>COUNTIFS('Исходные данные'!$G$3:$G$62,"Высокая")</x:f>
        <x:v>16</x:v>
      </x:c>
      <x:c r="C7" s="27" t="str">
        <x:v>объектов</x:v>
      </x:c>
      <x:c r="D7" s="27" t="str">
        <x:v>По учебному правилу классификации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 ht="15" hidden="0" customHeight="1">
      <x:c r="A8" s="20" t="str">
        <x:v>Средний уровень вибрации</x:v>
      </x:c>
      <x:c r="B8" s="34" t="n">
        <x:f>AVERAGE('Исходные данные'!$D$3:$D$62)</x:f>
        <x:v>3.999833333333333</x:v>
      </x:c>
      <x:c r="C8" s="20" t="str">
        <x:v>мм/с</x:v>
      </x:c>
      <x:c r="D8" s="20" t="str">
        <x:v>По всем объектам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hidden="0" customHeight="1">
      <x:c r="A9" s="27" t="str">
        <x:v>Средний индекс износа</x:v>
      </x:c>
      <x:c r="B9" s="35" t="n">
        <x:f>AVERAGE('Исходные данные'!$E$3:$E$62)</x:f>
        <x:v>50.323333333333316</x:v>
      </x:c>
      <x:c r="C9" s="27" t="str">
        <x:v>%</x:v>
      </x:c>
      <x:c r="D9" s="27" t="str">
        <x:v>По всем объектам</x:v>
      </x:c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 ht="15" hidden="0" customHeight="1">
      <x:c r="A12" s="24" t="str">
        <x:v>№</x:v>
      </x:c>
      <x:c r="B12" s="24" t="str">
        <x:v>Лист</x:v>
      </x:c>
      <x:c r="C12" s="24" t="str">
        <x:v>Содержание анализа</x:v>
      </x:c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 ht="15" hidden="0" customHeight="1">
      <x:c r="A13" s="20" t="n">
        <x:v>1</x:v>
      </x:c>
      <x:c r="B13" s="20" t="str">
        <x:v>1 Риск</x:v>
      </x:c>
      <x:c r="C13" s="20" t="str">
        <x:v>Распределение объектов по категориям риска</x:v>
      </x:c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 ht="15" hidden="0" customHeight="1">
      <x:c r="A14" s="27" t="n">
        <x:v>2</x:v>
      </x:c>
      <x:c r="B14" s="27" t="str">
        <x:v>2 Районы</x:v>
      </x:c>
      <x:c r="C14" s="27" t="str">
        <x:v>Показатели и высокий риск по районам</x:v>
      </x:c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 ht="15" hidden="0" customHeight="1">
      <x:c r="A15" s="20" t="n">
        <x:v>3</x:v>
      </x:c>
      <x:c r="B15" s="20" t="str">
        <x:v>3 Конструкции</x:v>
      </x:c>
      <x:c r="C15" s="20" t="str">
        <x:v>Показатели по типам конструкций</x:v>
      </x:c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 ht="15" hidden="0" customHeight="1">
      <x:c r="A16" s="27" t="n">
        <x:v>4</x:v>
      </x:c>
      <x:c r="B16" s="27" t="str">
        <x:v>4 Организации</x:v>
      </x:c>
      <x:c r="C16" s="27" t="str">
        <x:v>Показатели по обслуживающим организациям</x:v>
      </x:c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 ht="15" hidden="0" customHeight="1">
      <x:c r="A17" s="20" t="n">
        <x:v>5</x:v>
      </x:c>
      <x:c r="B17" s="20" t="str">
        <x:v>5 Район и риск</x:v>
      </x:c>
      <x:c r="C17" s="20" t="str">
        <x:v>Матрица район × категория риска</x:v>
      </x:c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 ht="15" hidden="0" customHeight="1">
      <x:c r="A18" s="27" t="n">
        <x:v>6</x:v>
      </x:c>
      <x:c r="B18" s="27" t="str">
        <x:v>6 Тип и риск</x:v>
      </x:c>
      <x:c r="C18" s="27" t="str">
        <x:v>Матрица тип конструкции × категория риска</x:v>
      </x:c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 ht="15" hidden="0" customHeight="1">
      <x:c r="A19" s="20" t="n">
        <x:v>7</x:v>
      </x:c>
      <x:c r="B19" s="20" t="str">
        <x:v>7 Организация и риск</x:v>
      </x:c>
      <x:c r="C19" s="20" t="str">
        <x:v>Матрица организация × категория риска</x:v>
      </x:c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 ht="15" hidden="0" customHeight="1">
      <x:c r="A20" s="27" t="n">
        <x:v>8</x:v>
      </x:c>
      <x:c r="B20" s="27" t="str">
        <x:v>8 Район и организация</x:v>
      </x:c>
      <x:c r="C20" s="27" t="str">
        <x:v>Матрица район × организация</x:v>
      </x:c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 ht="15" hidden="0" customHeight="1">
      <x:c r="A21" s="20" t="n">
        <x:v>9</x:v>
      </x:c>
      <x:c r="B21" s="20" t="str">
        <x:v>9 Тип и организация</x:v>
      </x:c>
      <x:c r="C21" s="20" t="str">
        <x:v>Матрица тип конструкции × организация</x:v>
      </x:c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 ht="15" hidden="0" customHeight="1">
      <x:c r="A22" s="27" t="n">
        <x:v>10</x:v>
      </x:c>
      <x:c r="B22" s="27" t="str">
        <x:v>10 Метрики риска</x:v>
      </x:c>
      <x:c r="C22" s="27" t="str">
        <x:v>Минимальные, средние и максимальные показатели по риску</x:v>
      </x:c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</x:sheetData>
  <x:pageMargins left="0.7" right="0.7" top="0.75" bottom="0.75" header="0.3" footer="0.3"/>
</x:worksheet>
</file>